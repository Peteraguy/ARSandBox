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Scouts\ARSandbox\"/>
    </mc:Choice>
  </mc:AlternateContent>
  <xr:revisionPtr revIDLastSave="0" documentId="10_ncr:100000_{76321C70-A7FB-41B1-AA0D-345DDBED9029}" xr6:coauthVersionLast="31" xr6:coauthVersionMax="31" xr10:uidLastSave="{00000000-0000-0000-0000-000000000000}"/>
  <bookViews>
    <workbookView xWindow="0" yWindow="0" windowWidth="28800" windowHeight="11925" activeTab="1" xr2:uid="{F764F591-F262-4DC3-975B-222BA76DC167}"/>
  </bookViews>
  <sheets>
    <sheet name="ColourMAPs" sheetId="1" r:id="rId1"/>
    <sheet name="ColourMAP_Gen" sheetId="2" r:id="rId2"/>
  </sheets>
  <functionGroups builtInGroupCount="19"/>
  <definedNames>
    <definedName name="ExportPath">ColourMAP_Gen!$S$2</definedName>
    <definedName name="Extension">ColourMAP_Gen!$S$4</definedName>
    <definedName name="FileName">ColourMAP_Gen!$S$3</definedName>
    <definedName name="HardTransData">ColourMAP_Gen!$L$10:$O$33</definedName>
    <definedName name="IdxMax">ColourMAP_Gen!$D$6</definedName>
    <definedName name="IdxMin">ColourMAP_Gen!$D$4</definedName>
    <definedName name="IdxStep">ColourMAP_Gen!$S$7</definedName>
    <definedName name="IdxZero">ColourMAP_Gen!$D$5</definedName>
    <definedName name="MapType">ColourMAP_Gen!$S$6</definedName>
    <definedName name="SoftTransData">ColourMAP_Gen!$D$10:$G$33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2" l="1"/>
  <c r="E6" i="2" l="1"/>
  <c r="L10" i="2"/>
  <c r="AA3" i="2"/>
  <c r="D33" i="2" l="1"/>
  <c r="D10" i="2"/>
  <c r="E4" i="2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J22" i="1"/>
  <c r="K17" i="1"/>
  <c r="J23" i="1" s="1"/>
  <c r="K19" i="1"/>
  <c r="J27" i="1" s="1"/>
  <c r="D15" i="2" l="1"/>
  <c r="D11" i="2"/>
  <c r="D30" i="2"/>
  <c r="D26" i="2"/>
  <c r="D22" i="2"/>
  <c r="D18" i="2"/>
  <c r="D14" i="2"/>
  <c r="D29" i="2"/>
  <c r="D25" i="2"/>
  <c r="D21" i="2"/>
  <c r="D17" i="2"/>
  <c r="D13" i="2"/>
  <c r="D32" i="2"/>
  <c r="D28" i="2"/>
  <c r="D24" i="2"/>
  <c r="D20" i="2"/>
  <c r="D16" i="2"/>
  <c r="D12" i="2"/>
  <c r="D31" i="2"/>
  <c r="D27" i="2"/>
  <c r="D23" i="2"/>
  <c r="D19" i="2"/>
  <c r="J45" i="1"/>
  <c r="J34" i="1"/>
  <c r="J30" i="1"/>
  <c r="J42" i="1"/>
  <c r="J26" i="1"/>
  <c r="J38" i="1"/>
  <c r="J41" i="1"/>
  <c r="J37" i="1"/>
  <c r="J33" i="1"/>
  <c r="J29" i="1"/>
  <c r="J25" i="1"/>
  <c r="J44" i="1"/>
  <c r="J40" i="1"/>
  <c r="J36" i="1"/>
  <c r="J32" i="1"/>
  <c r="J28" i="1"/>
  <c r="J24" i="1"/>
  <c r="J43" i="1"/>
  <c r="J39" i="1"/>
  <c r="J35" i="1"/>
  <c r="J31" i="1"/>
  <c r="K29" i="2"/>
  <c r="K21" i="2"/>
  <c r="K13" i="2"/>
  <c r="K24" i="2"/>
  <c r="K32" i="2"/>
  <c r="K14" i="2"/>
  <c r="C16" i="2"/>
  <c r="C29" i="2"/>
  <c r="C21" i="2"/>
  <c r="C13" i="2"/>
  <c r="C26" i="2"/>
  <c r="C14" i="2"/>
  <c r="B6" i="1"/>
  <c r="T11" i="1"/>
  <c r="T4" i="1"/>
  <c r="T7" i="1"/>
  <c r="B3" i="1"/>
  <c r="B8" i="1"/>
  <c r="H7" i="1"/>
  <c r="T6" i="1"/>
  <c r="B15" i="1"/>
  <c r="I44" i="1"/>
  <c r="I38" i="1"/>
  <c r="I24" i="1"/>
  <c r="I32" i="1"/>
  <c r="I35" i="1"/>
  <c r="I39" i="1"/>
  <c r="B35" i="1"/>
  <c r="B40" i="1"/>
  <c r="B37" i="1"/>
  <c r="B26" i="1"/>
  <c r="B27" i="1"/>
  <c r="B39" i="1"/>
  <c r="Z4" i="1"/>
  <c r="Z6" i="1"/>
  <c r="K27" i="2"/>
  <c r="K19" i="2"/>
  <c r="K11" i="2"/>
  <c r="K20" i="2"/>
  <c r="K26" i="2"/>
  <c r="K10" i="2"/>
  <c r="C12" i="2"/>
  <c r="C27" i="2"/>
  <c r="C19" i="2"/>
  <c r="C11" i="2"/>
  <c r="C24" i="2"/>
  <c r="C10" i="2"/>
  <c r="T3" i="1"/>
  <c r="H3" i="1"/>
  <c r="B12" i="1"/>
  <c r="B10" i="1"/>
  <c r="T8" i="1"/>
  <c r="B5" i="1"/>
  <c r="N4" i="1"/>
  <c r="B4" i="1"/>
  <c r="H9" i="1"/>
  <c r="I37" i="1"/>
  <c r="I36" i="1"/>
  <c r="I40" i="1"/>
  <c r="I25" i="1"/>
  <c r="I22" i="1"/>
  <c r="I33" i="1"/>
  <c r="B23" i="1"/>
  <c r="B32" i="1"/>
  <c r="B36" i="1"/>
  <c r="B29" i="1"/>
  <c r="B41" i="1"/>
  <c r="B34" i="1"/>
  <c r="Z8" i="1"/>
  <c r="Z10" i="1"/>
  <c r="K33" i="2"/>
  <c r="K25" i="2"/>
  <c r="K17" i="2"/>
  <c r="K30" i="2"/>
  <c r="K16" i="2"/>
  <c r="K22" i="2"/>
  <c r="C30" i="2"/>
  <c r="C33" i="2"/>
  <c r="C25" i="2"/>
  <c r="C17" i="2"/>
  <c r="C32" i="2"/>
  <c r="C22" i="2"/>
  <c r="N6" i="1"/>
  <c r="B14" i="1"/>
  <c r="T9" i="1"/>
  <c r="N3" i="1"/>
  <c r="N5" i="1"/>
  <c r="H10" i="1"/>
  <c r="N7" i="1"/>
  <c r="B16" i="1"/>
  <c r="H6" i="1"/>
  <c r="B13" i="1"/>
  <c r="I30" i="1"/>
  <c r="I42" i="1"/>
  <c r="I26" i="1"/>
  <c r="I41" i="1"/>
  <c r="I29" i="1"/>
  <c r="I27" i="1"/>
  <c r="B31" i="1"/>
  <c r="B38" i="1"/>
  <c r="B28" i="1"/>
  <c r="B44" i="1"/>
  <c r="B33" i="1"/>
  <c r="B22" i="1"/>
  <c r="Z3" i="1"/>
  <c r="Z11" i="1"/>
  <c r="K31" i="2"/>
  <c r="K23" i="2"/>
  <c r="K15" i="2"/>
  <c r="K28" i="2"/>
  <c r="K12" i="2"/>
  <c r="K18" i="2"/>
  <c r="C20" i="2"/>
  <c r="C31" i="2"/>
  <c r="C23" i="2"/>
  <c r="C15" i="2"/>
  <c r="C28" i="2"/>
  <c r="C18" i="2"/>
  <c r="B7" i="1"/>
  <c r="T5" i="1"/>
  <c r="H8" i="1"/>
  <c r="B17" i="1"/>
  <c r="T10" i="1"/>
  <c r="H5" i="1"/>
  <c r="B11" i="1"/>
  <c r="H4" i="1"/>
  <c r="B9" i="1"/>
  <c r="I28" i="1"/>
  <c r="I34" i="1"/>
  <c r="B30" i="1"/>
  <c r="Z9" i="1"/>
  <c r="I31" i="1"/>
  <c r="I45" i="1"/>
  <c r="B45" i="1"/>
  <c r="Z5" i="1"/>
  <c r="I23" i="1"/>
  <c r="B42" i="1"/>
  <c r="B25" i="1"/>
  <c r="Z7" i="1"/>
  <c r="I43" i="1"/>
  <c r="B24" i="1"/>
  <c r="B43" i="1"/>
</calcChain>
</file>

<file path=xl/sharedStrings.xml><?xml version="1.0" encoding="utf-8"?>
<sst xmlns="http://schemas.openxmlformats.org/spreadsheetml/2006/main" count="79" uniqueCount="34">
  <si>
    <t>Colour</t>
  </si>
  <si>
    <t>Red</t>
  </si>
  <si>
    <t>Green</t>
  </si>
  <si>
    <t>Blue</t>
  </si>
  <si>
    <t>Depth</t>
  </si>
  <si>
    <t>Index</t>
  </si>
  <si>
    <t>Standard</t>
  </si>
  <si>
    <t>HeightColorMap.cpt</t>
  </si>
  <si>
    <t>HeightColorMapNoWater.cpt</t>
  </si>
  <si>
    <t>HeightColorMapGreen.cpt</t>
  </si>
  <si>
    <t>HeightColorMapGreenBrown.cpt</t>
  </si>
  <si>
    <t>index</t>
  </si>
  <si>
    <t>Min Depth</t>
  </si>
  <si>
    <t>Max Height</t>
  </si>
  <si>
    <t>value</t>
  </si>
  <si>
    <t>Idx</t>
  </si>
  <si>
    <t>Zero</t>
  </si>
  <si>
    <t>spacing</t>
  </si>
  <si>
    <t>Soft Transition</t>
  </si>
  <si>
    <t>Hard Transition</t>
  </si>
  <si>
    <t>Hard Break</t>
  </si>
  <si>
    <t>Low Idx</t>
  </si>
  <si>
    <t>Hard line at 0</t>
  </si>
  <si>
    <t>Spacing</t>
  </si>
  <si>
    <t>Export Step Increment</t>
  </si>
  <si>
    <t>Export Path</t>
  </si>
  <si>
    <t>Filename</t>
  </si>
  <si>
    <t>Extension</t>
  </si>
  <si>
    <t>ColourMap</t>
  </si>
  <si>
    <t>cpt</t>
  </si>
  <si>
    <t>Map Type</t>
  </si>
  <si>
    <t>HeightColorMapRainbow.cpt</t>
  </si>
  <si>
    <t>Hard</t>
  </si>
  <si>
    <t>\\diskstation.peteshouse.local\Pete_Personal\ARSandbox\ColourMaps\24Colour_Hard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</si>
</sst>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3266"/>
        <bgColor indexed="64"/>
      </patternFill>
    </fill>
    <fill>
      <patternFill patternType="solid">
        <fgColor rgb="FF001E64"/>
        <bgColor indexed="64"/>
      </patternFill>
    </fill>
    <fill>
      <patternFill patternType="solid">
        <fgColor rgb="FF000050"/>
        <bgColor indexed="64"/>
      </patternFill>
    </fill>
    <fill>
      <patternFill patternType="solid">
        <fgColor rgb="FF136CA0"/>
        <bgColor indexed="64"/>
      </patternFill>
    </fill>
    <fill>
      <patternFill patternType="solid">
        <fgColor rgb="FF006147"/>
        <bgColor indexed="64"/>
      </patternFill>
    </fill>
    <fill>
      <patternFill patternType="solid">
        <fgColor rgb="FF821E1E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88CCD"/>
        <bgColor indexed="64"/>
      </patternFill>
    </fill>
    <fill>
      <patternFill patternType="solid">
        <fgColor rgb="FF107A2F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E8D77D"/>
        <bgColor indexed="64"/>
      </patternFill>
    </fill>
    <fill>
      <patternFill patternType="solid">
        <fgColor rgb="FFA14300"/>
        <bgColor indexed="64"/>
      </patternFill>
    </fill>
    <fill>
      <patternFill patternType="solid">
        <fgColor rgb="FF004329"/>
        <bgColor indexed="64"/>
      </patternFill>
    </fill>
    <fill>
      <patternFill patternType="solid">
        <fgColor rgb="FFD8CB59"/>
        <bgColor indexed="64"/>
      </patternFill>
    </fill>
    <fill>
      <patternFill patternType="solid">
        <fgColor rgb="FFCDCDFF"/>
        <bgColor indexed="64"/>
      </patternFill>
    </fill>
    <fill>
      <patternFill patternType="solid">
        <fgColor rgb="FF671E1E"/>
        <bgColor indexed="64"/>
      </patternFill>
    </fill>
    <fill>
      <patternFill patternType="solid">
        <fgColor rgb="FF787894"/>
        <bgColor indexed="64"/>
      </patternFill>
    </fill>
    <fill>
      <patternFill patternType="solid">
        <fgColor rgb="FFA7F3DF"/>
        <bgColor indexed="64"/>
      </patternFill>
    </fill>
    <fill>
      <patternFill patternType="solid">
        <fgColor rgb="FF966E46"/>
        <bgColor indexed="64"/>
      </patternFill>
    </fill>
    <fill>
      <patternFill patternType="solid">
        <fgColor rgb="FF673C1E"/>
        <bgColor indexed="64"/>
      </patternFill>
    </fill>
    <fill>
      <patternFill patternType="solid">
        <fgColor rgb="FF64966E"/>
        <bgColor indexed="64"/>
      </patternFill>
    </fill>
    <fill>
      <patternFill patternType="solid">
        <fgColor rgb="FF5028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662A00"/>
        <bgColor indexed="64"/>
      </patternFill>
    </fill>
    <fill>
      <patternFill patternType="solid">
        <fgColor rgb="FF00005B"/>
        <bgColor indexed="64"/>
      </patternFill>
    </fill>
    <fill>
      <patternFill patternType="solid">
        <fgColor rgb="FF000084"/>
        <bgColor indexed="64"/>
      </patternFill>
    </fill>
    <fill>
      <patternFill patternType="solid">
        <fgColor rgb="FF0000AD"/>
        <bgColor indexed="64"/>
      </patternFill>
    </fill>
    <fill>
      <patternFill patternType="solid">
        <fgColor rgb="FF0000D6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28993B"/>
        <bgColor indexed="64"/>
      </patternFill>
    </fill>
    <fill>
      <patternFill patternType="solid">
        <fgColor rgb="FF47B247"/>
        <bgColor indexed="64"/>
      </patternFill>
    </fill>
    <fill>
      <patternFill patternType="solid">
        <fgColor rgb="FF107F35"/>
        <bgColor indexed="64"/>
      </patternFill>
    </fill>
    <fill>
      <patternFill patternType="solid">
        <fgColor rgb="FF7CCC6C"/>
        <bgColor indexed="64"/>
      </patternFill>
    </fill>
    <fill>
      <patternFill patternType="solid">
        <fgColor rgb="FFB2E599"/>
        <bgColor indexed="64"/>
      </patternFill>
    </fill>
    <fill>
      <patternFill patternType="solid">
        <fgColor rgb="FFE5FFCC"/>
        <bgColor indexed="64"/>
      </patternFill>
    </fill>
    <fill>
      <patternFill patternType="solid">
        <fgColor rgb="FFC9E08F"/>
        <bgColor indexed="64"/>
      </patternFill>
    </fill>
    <fill>
      <patternFill patternType="solid">
        <fgColor rgb="FFBBC15D"/>
        <bgColor indexed="64"/>
      </patternFill>
    </fill>
    <fill>
      <patternFill patternType="solid">
        <fgColor rgb="FFA39234"/>
        <bgColor indexed="64"/>
      </patternFill>
    </fill>
    <fill>
      <patternFill patternType="solid">
        <fgColor rgb="FF845B15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0" fontId="2" fillId="55" borderId="4" applyNumberFormat="0" applyAlignment="0" applyProtection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/>
    </xf>
    <xf numFmtId="0" fontId="0" fillId="7" borderId="1" xfId="0" applyFill="1" applyBorder="1"/>
    <xf numFmtId="0" fontId="0" fillId="6" borderId="2" xfId="0" applyFill="1" applyBorder="1"/>
    <xf numFmtId="0" fontId="0" fillId="5" borderId="2" xfId="0" applyFill="1" applyBorder="1"/>
    <xf numFmtId="0" fontId="0" fillId="8" borderId="2" xfId="0" applyFill="1" applyBorder="1"/>
    <xf numFmtId="0" fontId="0" fillId="13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9" borderId="2" xfId="0" applyFill="1" applyBorder="1"/>
    <xf numFmtId="0" fontId="0" fillId="14" borderId="2" xfId="0" applyFill="1" applyBorder="1"/>
    <xf numFmtId="0" fontId="0" fillId="18" borderId="2" xfId="0" applyFill="1" applyBorder="1"/>
    <xf numFmtId="0" fontId="0" fillId="19" borderId="2" xfId="0" applyFill="1" applyBorder="1"/>
    <xf numFmtId="0" fontId="0" fillId="10" borderId="2" xfId="0" applyFill="1" applyBorder="1"/>
    <xf numFmtId="0" fontId="0" fillId="15" borderId="2" xfId="0" applyFill="1" applyBorder="1"/>
    <xf numFmtId="0" fontId="0" fillId="11" borderId="2" xfId="0" applyFill="1" applyBorder="1"/>
    <xf numFmtId="0" fontId="0" fillId="12" borderId="3" xfId="0" applyFill="1" applyBorder="1"/>
    <xf numFmtId="0" fontId="1" fillId="0" borderId="0" xfId="0" applyFont="1" applyAlignment="1">
      <alignment horizontal="center"/>
    </xf>
    <xf numFmtId="0" fontId="1" fillId="0" borderId="0" xfId="0" applyFont="1"/>
    <xf numFmtId="0" fontId="0" fillId="20" borderId="1" xfId="0" applyFill="1" applyBorder="1"/>
    <xf numFmtId="0" fontId="0" fillId="20" borderId="2" xfId="0" applyFill="1" applyBorder="1"/>
    <xf numFmtId="0" fontId="0" fillId="21" borderId="2" xfId="0" applyFill="1" applyBorder="1"/>
    <xf numFmtId="0" fontId="0" fillId="23" borderId="2" xfId="0" applyFill="1" applyBorder="1"/>
    <xf numFmtId="0" fontId="0" fillId="24" borderId="2" xfId="0" applyFill="1" applyBorder="1"/>
    <xf numFmtId="0" fontId="0" fillId="22" borderId="2" xfId="0" applyFill="1" applyBorder="1"/>
    <xf numFmtId="0" fontId="0" fillId="22" borderId="3" xfId="0" applyFill="1" applyBorder="1"/>
    <xf numFmtId="0" fontId="0" fillId="25" borderId="2" xfId="0" applyFill="1" applyBorder="1"/>
    <xf numFmtId="0" fontId="0" fillId="25" borderId="3" xfId="0" applyFill="1" applyBorder="1"/>
    <xf numFmtId="0" fontId="0" fillId="28" borderId="2" xfId="0" applyFill="1" applyBorder="1"/>
    <xf numFmtId="0" fontId="0" fillId="12" borderId="2" xfId="0" applyFill="1" applyBorder="1"/>
    <xf numFmtId="0" fontId="0" fillId="26" borderId="2" xfId="0" applyFill="1" applyBorder="1"/>
    <xf numFmtId="0" fontId="0" fillId="27" borderId="2" xfId="0" applyFill="1" applyBorder="1"/>
    <xf numFmtId="0" fontId="0" fillId="29" borderId="2" xfId="0" applyFill="1" applyBorder="1"/>
    <xf numFmtId="0" fontId="0" fillId="29" borderId="3" xfId="0" applyFill="1" applyBorder="1"/>
    <xf numFmtId="0" fontId="0" fillId="30" borderId="2" xfId="0" applyFill="1" applyBorder="1"/>
    <xf numFmtId="0" fontId="0" fillId="31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2" xfId="0" applyFill="1" applyBorder="1"/>
    <xf numFmtId="0" fontId="0" fillId="3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4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32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5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6" borderId="0" xfId="0" applyFill="1" applyBorder="1" applyAlignment="1">
      <alignment horizontal="center"/>
    </xf>
    <xf numFmtId="0" fontId="0" fillId="37" borderId="0" xfId="0" applyFill="1" applyBorder="1" applyAlignment="1">
      <alignment horizontal="center"/>
    </xf>
    <xf numFmtId="0" fontId="0" fillId="38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0" fillId="40" borderId="0" xfId="0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2" borderId="0" xfId="0" applyFill="1" applyBorder="1" applyAlignment="1">
      <alignment horizontal="center"/>
    </xf>
    <xf numFmtId="0" fontId="0" fillId="43" borderId="0" xfId="0" applyFill="1" applyBorder="1" applyAlignment="1">
      <alignment horizontal="center"/>
    </xf>
    <xf numFmtId="0" fontId="0" fillId="32" borderId="0" xfId="0" applyFill="1" applyBorder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7" borderId="0" xfId="0" applyFill="1" applyBorder="1" applyAlignment="1">
      <alignment horizontal="center"/>
    </xf>
    <xf numFmtId="0" fontId="0" fillId="45" borderId="0" xfId="0" applyFill="1" applyBorder="1" applyAlignment="1">
      <alignment horizontal="center"/>
    </xf>
    <xf numFmtId="0" fontId="0" fillId="46" borderId="0" xfId="0" applyFill="1" applyBorder="1" applyAlignment="1">
      <alignment horizontal="center"/>
    </xf>
    <xf numFmtId="0" fontId="0" fillId="48" borderId="0" xfId="0" applyFill="1" applyBorder="1" applyAlignment="1">
      <alignment horizontal="center"/>
    </xf>
    <xf numFmtId="0" fontId="0" fillId="49" borderId="0" xfId="0" applyFill="1" applyBorder="1" applyAlignment="1">
      <alignment horizontal="center"/>
    </xf>
    <xf numFmtId="0" fontId="0" fillId="50" borderId="0" xfId="0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0" fillId="52" borderId="0" xfId="0" applyFill="1" applyBorder="1" applyAlignment="1">
      <alignment horizontal="center"/>
    </xf>
    <xf numFmtId="0" fontId="0" fillId="53" borderId="0" xfId="0" applyFill="1" applyBorder="1" applyAlignment="1">
      <alignment horizontal="center"/>
    </xf>
    <xf numFmtId="0" fontId="0" fillId="54" borderId="0" xfId="0" applyFill="1" applyBorder="1" applyAlignment="1">
      <alignment horizontal="center"/>
    </xf>
    <xf numFmtId="0" fontId="0" fillId="34" borderId="19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/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55" borderId="5" xfId="1" applyBorder="1" applyAlignment="1">
      <alignment horizontal="center"/>
    </xf>
    <xf numFmtId="0" fontId="2" fillId="55" borderId="21" xfId="1" applyBorder="1" applyAlignment="1">
      <alignment horizontal="center"/>
    </xf>
    <xf numFmtId="0" fontId="2" fillId="55" borderId="13" xfId="1" applyBorder="1" applyAlignment="1">
      <alignment horizontal="center"/>
    </xf>
    <xf numFmtId="164" fontId="2" fillId="55" borderId="28" xfId="1" applyNumberFormat="1" applyBorder="1" applyAlignment="1">
      <alignment horizontal="center"/>
    </xf>
    <xf numFmtId="0" fontId="0" fillId="56" borderId="11" xfId="0" applyFill="1" applyBorder="1" applyAlignment="1">
      <alignment horizontal="center"/>
    </xf>
    <xf numFmtId="0" fontId="1" fillId="0" borderId="15" xfId="0" applyFont="1" applyBorder="1" applyAlignment="1">
      <alignment horizontal="right" indent="1"/>
    </xf>
    <xf numFmtId="0" fontId="1" fillId="0" borderId="16" xfId="0" applyFont="1" applyBorder="1" applyAlignment="1">
      <alignment horizontal="right" indent="1"/>
    </xf>
    <xf numFmtId="164" fontId="2" fillId="55" borderId="27" xfId="1" applyNumberFormat="1" applyBorder="1" applyAlignment="1">
      <alignment horizontal="center"/>
    </xf>
    <xf numFmtId="0" fontId="0" fillId="33" borderId="29" xfId="0" applyFill="1" applyBorder="1" applyAlignment="1">
      <alignment horizontal="center"/>
    </xf>
    <xf numFmtId="0" fontId="2" fillId="55" borderId="8" xfId="1" applyBorder="1" applyAlignment="1">
      <alignment horizontal="center"/>
    </xf>
    <xf numFmtId="0" fontId="2" fillId="55" borderId="30" xfId="1" applyBorder="1" applyAlignment="1">
      <alignment horizontal="center"/>
    </xf>
    <xf numFmtId="0" fontId="1" fillId="0" borderId="0" xfId="0" applyFont="1" applyBorder="1" applyAlignment="1">
      <alignment horizontal="right" indent="1"/>
    </xf>
    <xf numFmtId="164" fontId="2" fillId="55" borderId="0" xfId="1" applyNumberFormat="1" applyBorder="1" applyAlignment="1">
      <alignment horizontal="center"/>
    </xf>
    <xf numFmtId="0" fontId="0" fillId="0" borderId="0" xfId="0" applyAlignment="1">
      <alignment horizontal="right" indent="1"/>
    </xf>
    <xf numFmtId="0" fontId="0" fillId="0" borderId="6" xfId="0" applyBorder="1" applyAlignment="1">
      <alignment horizontal="center"/>
    </xf>
    <xf numFmtId="164" fontId="2" fillId="55" borderId="6" xfId="1" applyNumberFormat="1" applyBorder="1" applyAlignment="1">
      <alignment horizontal="center"/>
    </xf>
    <xf numFmtId="0" fontId="1" fillId="0" borderId="31" xfId="0" applyFont="1" applyBorder="1" applyAlignment="1">
      <alignment horizontal="center"/>
    </xf>
    <xf numFmtId="164" fontId="2" fillId="55" borderId="33" xfId="1" applyNumberFormat="1" applyBorder="1" applyAlignment="1">
      <alignment horizontal="center"/>
    </xf>
    <xf numFmtId="0" fontId="0" fillId="56" borderId="34" xfId="0" applyFill="1" applyBorder="1" applyAlignment="1">
      <alignment horizontal="center"/>
    </xf>
    <xf numFmtId="164" fontId="2" fillId="55" borderId="35" xfId="1" applyNumberFormat="1" applyBorder="1" applyAlignment="1">
      <alignment horizontal="center"/>
    </xf>
    <xf numFmtId="164" fontId="2" fillId="55" borderId="5" xfId="1" applyNumberFormat="1" applyBorder="1" applyAlignment="1">
      <alignment horizontal="center"/>
    </xf>
    <xf numFmtId="164" fontId="2" fillId="55" borderId="8" xfId="1" applyNumberFormat="1" applyBorder="1" applyAlignment="1">
      <alignment horizontal="center"/>
    </xf>
    <xf numFmtId="164" fontId="2" fillId="55" borderId="13" xfId="1" applyNumberForma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6" xfId="0" applyBorder="1"/>
    <xf numFmtId="0" fontId="1" fillId="0" borderId="0" xfId="0" applyFont="1" applyAlignment="1">
      <alignment horizontal="right" indent="1"/>
    </xf>
    <xf numFmtId="0" fontId="1" fillId="0" borderId="0" xfId="0" applyFont="1" applyFill="1" applyBorder="1" applyAlignment="1">
      <alignment horizontal="right" indent="1"/>
    </xf>
    <xf numFmtId="0" fontId="4" fillId="0" borderId="6" xfId="2" applyBorder="1"/>
  </cellXfs>
  <cellStyles count="3">
    <cellStyle name="Calculation" xfId="1" builtinId="22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361950</xdr:colOff>
          <xdr:row>1</xdr:row>
          <xdr:rowOff>38100</xdr:rowOff>
        </xdr:from>
        <xdr:to>
          <xdr:col>21</xdr:col>
          <xdr:colOff>161925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diskstation.peteshouse.local\Pete_Personal\ARSandbox\ColourMaps\24Colour_Hard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C471F-BDDB-4FB0-8F76-4A6F0A187C60}">
  <sheetPr codeName="Sheet1"/>
  <dimension ref="A1:AD45"/>
  <sheetViews>
    <sheetView workbookViewId="0">
      <selection activeCell="Q21" sqref="Q21:S44"/>
    </sheetView>
  </sheetViews>
  <sheetFormatPr defaultRowHeight="15" x14ac:dyDescent="0.25"/>
  <cols>
    <col min="8" max="8" width="12.28515625" customWidth="1"/>
    <col min="20" max="20" width="12.28515625" customWidth="1"/>
  </cols>
  <sheetData>
    <row r="1" spans="1:30" x14ac:dyDescent="0.25">
      <c r="B1" t="s">
        <v>6</v>
      </c>
      <c r="C1" t="s">
        <v>7</v>
      </c>
      <c r="I1" t="s">
        <v>8</v>
      </c>
      <c r="O1" t="s">
        <v>9</v>
      </c>
      <c r="U1" t="s">
        <v>10</v>
      </c>
      <c r="AA1" t="s">
        <v>31</v>
      </c>
    </row>
    <row r="2" spans="1:30" ht="15.75" thickBot="1" x14ac:dyDescent="0.3">
      <c r="A2" s="17" t="s">
        <v>5</v>
      </c>
      <c r="B2" s="18" t="s">
        <v>0</v>
      </c>
      <c r="C2" s="17" t="s">
        <v>4</v>
      </c>
      <c r="D2" s="17" t="s">
        <v>1</v>
      </c>
      <c r="E2" s="17" t="s">
        <v>2</v>
      </c>
      <c r="F2" s="17" t="s">
        <v>3</v>
      </c>
      <c r="G2" s="17"/>
      <c r="I2" s="17" t="s">
        <v>4</v>
      </c>
      <c r="J2" s="17" t="s">
        <v>1</v>
      </c>
      <c r="K2" s="17" t="s">
        <v>2</v>
      </c>
      <c r="L2" s="17" t="s">
        <v>3</v>
      </c>
      <c r="M2" s="17"/>
      <c r="O2" s="17" t="s">
        <v>4</v>
      </c>
      <c r="P2" s="17" t="s">
        <v>1</v>
      </c>
      <c r="Q2" s="17" t="s">
        <v>2</v>
      </c>
      <c r="R2" s="17" t="s">
        <v>3</v>
      </c>
      <c r="S2" s="17"/>
      <c r="U2" s="17" t="s">
        <v>4</v>
      </c>
      <c r="V2" s="17" t="s">
        <v>1</v>
      </c>
      <c r="W2" s="17" t="s">
        <v>2</v>
      </c>
      <c r="X2" s="17" t="s">
        <v>3</v>
      </c>
      <c r="Z2" s="18" t="s">
        <v>0</v>
      </c>
      <c r="AA2" s="17" t="s">
        <v>4</v>
      </c>
      <c r="AB2" s="17" t="s">
        <v>1</v>
      </c>
      <c r="AC2" s="17" t="s">
        <v>2</v>
      </c>
      <c r="AD2" s="17" t="s">
        <v>3</v>
      </c>
    </row>
    <row r="3" spans="1:30" x14ac:dyDescent="0.25">
      <c r="A3" s="1">
        <v>1</v>
      </c>
      <c r="B3" s="2" t="str">
        <f>SetRGB(B3,D3,E3,F3)</f>
        <v/>
      </c>
      <c r="C3" s="1">
        <v>-40</v>
      </c>
      <c r="D3" s="1">
        <v>0</v>
      </c>
      <c r="E3" s="1">
        <v>0</v>
      </c>
      <c r="F3" s="1">
        <v>80</v>
      </c>
      <c r="G3" s="1"/>
      <c r="H3" s="19" t="str">
        <f>SetRGB(H3,J3,K3,L3)</f>
        <v/>
      </c>
      <c r="I3" s="1">
        <v>-25</v>
      </c>
      <c r="J3" s="1">
        <v>0</v>
      </c>
      <c r="K3" s="1">
        <v>67</v>
      </c>
      <c r="L3" s="1">
        <v>41</v>
      </c>
      <c r="M3" s="1"/>
      <c r="N3" s="19" t="str">
        <f>SetRGB(N3,P3,Q3,R3)</f>
        <v/>
      </c>
      <c r="O3">
        <v>-25</v>
      </c>
      <c r="P3">
        <v>0</v>
      </c>
      <c r="Q3">
        <v>67</v>
      </c>
      <c r="R3">
        <v>41</v>
      </c>
      <c r="T3" s="19" t="str">
        <f>SetRGB(T3,V3,W3,X3)</f>
        <v/>
      </c>
      <c r="U3" s="1">
        <v>-25</v>
      </c>
      <c r="V3" s="1">
        <v>0</v>
      </c>
      <c r="W3" s="1">
        <v>67</v>
      </c>
      <c r="X3" s="1">
        <v>41</v>
      </c>
      <c r="Z3" s="40" t="str">
        <f t="shared" ref="Z3:Z11" si="0">SetRGB(Z3,AB3,AC3,AD3)</f>
        <v/>
      </c>
      <c r="AA3" s="1">
        <v>-25</v>
      </c>
      <c r="AB3" s="1">
        <v>255</v>
      </c>
      <c r="AC3" s="1">
        <v>0</v>
      </c>
      <c r="AD3" s="1">
        <v>0</v>
      </c>
    </row>
    <row r="4" spans="1:30" x14ac:dyDescent="0.25">
      <c r="A4" s="1">
        <v>2</v>
      </c>
      <c r="B4" s="3" t="str">
        <f>SetRGB(B4,D4,E4,F4)</f>
        <v/>
      </c>
      <c r="C4" s="1">
        <v>-30</v>
      </c>
      <c r="D4" s="1">
        <v>0</v>
      </c>
      <c r="E4" s="1">
        <v>30</v>
      </c>
      <c r="F4" s="1">
        <v>100</v>
      </c>
      <c r="G4" s="1"/>
      <c r="H4" s="20" t="str">
        <f t="shared" ref="H4:H10" si="1">SetRGB(H4,J4,K4,L4)</f>
        <v/>
      </c>
      <c r="I4" s="1">
        <v>-6</v>
      </c>
      <c r="J4" s="1">
        <v>0</v>
      </c>
      <c r="K4" s="1">
        <v>67</v>
      </c>
      <c r="L4" s="1">
        <v>41</v>
      </c>
      <c r="M4" s="1"/>
      <c r="N4" s="20" t="str">
        <f t="shared" ref="N4:N7" si="2">SetRGB(N4,P4,Q4,R4)</f>
        <v/>
      </c>
      <c r="O4">
        <v>-6</v>
      </c>
      <c r="P4">
        <v>0</v>
      </c>
      <c r="Q4">
        <v>67</v>
      </c>
      <c r="R4">
        <v>41</v>
      </c>
      <c r="T4" s="20" t="str">
        <f t="shared" ref="T4:T11" si="3">SetRGB(T4,V4,W4,X4)</f>
        <v/>
      </c>
      <c r="U4" s="1">
        <v>-6</v>
      </c>
      <c r="V4" s="1">
        <v>0</v>
      </c>
      <c r="W4" s="1">
        <v>67</v>
      </c>
      <c r="X4" s="1">
        <v>41</v>
      </c>
      <c r="Z4" s="38" t="str">
        <f t="shared" si="0"/>
        <v/>
      </c>
      <c r="AA4" s="1">
        <v>-9</v>
      </c>
      <c r="AB4" s="1">
        <v>255</v>
      </c>
      <c r="AC4" s="1">
        <v>0</v>
      </c>
      <c r="AD4" s="1">
        <v>0</v>
      </c>
    </row>
    <row r="5" spans="1:30" x14ac:dyDescent="0.25">
      <c r="A5" s="1">
        <v>3</v>
      </c>
      <c r="B5" s="4" t="str">
        <f>SetRGB(B5,D5,E5,F5)</f>
        <v/>
      </c>
      <c r="C5" s="1">
        <v>-20</v>
      </c>
      <c r="D5" s="1">
        <v>0</v>
      </c>
      <c r="E5" s="1">
        <v>50</v>
      </c>
      <c r="F5" s="1">
        <v>102</v>
      </c>
      <c r="G5" s="1"/>
      <c r="H5" s="9" t="str">
        <f t="shared" si="1"/>
        <v/>
      </c>
      <c r="I5" s="1">
        <v>-5</v>
      </c>
      <c r="J5" s="1">
        <v>0</v>
      </c>
      <c r="K5" s="1">
        <v>97</v>
      </c>
      <c r="L5" s="1">
        <v>71</v>
      </c>
      <c r="M5" s="1"/>
      <c r="N5" s="9" t="str">
        <f t="shared" si="2"/>
        <v/>
      </c>
      <c r="O5">
        <v>-5</v>
      </c>
      <c r="P5">
        <v>0</v>
      </c>
      <c r="Q5">
        <v>97</v>
      </c>
      <c r="R5">
        <v>71</v>
      </c>
      <c r="T5" s="9" t="str">
        <f t="shared" si="3"/>
        <v/>
      </c>
      <c r="U5" s="1">
        <v>-5</v>
      </c>
      <c r="V5" s="1">
        <v>0</v>
      </c>
      <c r="W5" s="1">
        <v>97</v>
      </c>
      <c r="X5" s="1">
        <v>71</v>
      </c>
      <c r="Z5" s="35" t="str">
        <f t="shared" si="0"/>
        <v/>
      </c>
      <c r="AA5" s="1">
        <v>-6</v>
      </c>
      <c r="AB5" s="1">
        <v>255</v>
      </c>
      <c r="AC5" s="1">
        <v>0</v>
      </c>
      <c r="AD5" s="1">
        <v>255</v>
      </c>
    </row>
    <row r="6" spans="1:30" x14ac:dyDescent="0.25">
      <c r="A6" s="1">
        <v>4</v>
      </c>
      <c r="B6" s="5" t="str">
        <f t="shared" ref="B6:B17" si="4">SetRGB(B6,D6,E6,F6)</f>
        <v/>
      </c>
      <c r="C6" s="1">
        <v>-12.5</v>
      </c>
      <c r="D6" s="1">
        <v>19</v>
      </c>
      <c r="E6" s="1">
        <v>108</v>
      </c>
      <c r="F6" s="1">
        <v>160</v>
      </c>
      <c r="G6" s="1"/>
      <c r="H6" s="21" t="str">
        <f t="shared" si="1"/>
        <v/>
      </c>
      <c r="I6" s="1">
        <v>0</v>
      </c>
      <c r="J6" s="1">
        <v>216</v>
      </c>
      <c r="K6" s="1">
        <v>203</v>
      </c>
      <c r="L6" s="1">
        <v>89</v>
      </c>
      <c r="M6" s="1"/>
      <c r="N6" s="26" t="str">
        <f t="shared" si="2"/>
        <v/>
      </c>
      <c r="O6">
        <v>5</v>
      </c>
      <c r="P6">
        <v>167</v>
      </c>
      <c r="Q6">
        <v>243</v>
      </c>
      <c r="R6">
        <v>223</v>
      </c>
      <c r="T6" s="28" t="str">
        <f t="shared" si="3"/>
        <v/>
      </c>
      <c r="U6" s="1">
        <v>-2</v>
      </c>
      <c r="V6" s="1">
        <v>100</v>
      </c>
      <c r="W6" s="1">
        <v>150</v>
      </c>
      <c r="X6" s="1">
        <v>110</v>
      </c>
      <c r="Z6" s="36" t="str">
        <f t="shared" si="0"/>
        <v/>
      </c>
      <c r="AA6" s="1">
        <v>-3</v>
      </c>
      <c r="AB6" s="1">
        <v>0</v>
      </c>
      <c r="AC6" s="1">
        <v>0</v>
      </c>
      <c r="AD6" s="1">
        <v>255</v>
      </c>
    </row>
    <row r="7" spans="1:30" ht="15.75" thickBot="1" x14ac:dyDescent="0.3">
      <c r="A7" s="1">
        <v>5</v>
      </c>
      <c r="B7" s="6" t="str">
        <f t="shared" si="4"/>
        <v/>
      </c>
      <c r="C7" s="1">
        <v>-0.75</v>
      </c>
      <c r="D7" s="1">
        <v>24</v>
      </c>
      <c r="E7" s="1">
        <v>140</v>
      </c>
      <c r="F7" s="1">
        <v>205</v>
      </c>
      <c r="G7" s="1"/>
      <c r="H7" s="22" t="str">
        <f t="shared" si="1"/>
        <v/>
      </c>
      <c r="I7" s="1">
        <v>6</v>
      </c>
      <c r="J7" s="1">
        <v>103</v>
      </c>
      <c r="K7" s="1">
        <v>30</v>
      </c>
      <c r="L7" s="1">
        <v>30</v>
      </c>
      <c r="M7" s="1"/>
      <c r="N7" s="27" t="str">
        <f t="shared" si="2"/>
        <v/>
      </c>
      <c r="O7">
        <v>25</v>
      </c>
      <c r="P7">
        <v>167</v>
      </c>
      <c r="Q7">
        <v>243</v>
      </c>
      <c r="R7">
        <v>223</v>
      </c>
      <c r="T7" s="29" t="str">
        <f t="shared" si="3"/>
        <v/>
      </c>
      <c r="U7" s="1">
        <v>0</v>
      </c>
      <c r="V7" s="1">
        <v>255</v>
      </c>
      <c r="W7" s="1">
        <v>255</v>
      </c>
      <c r="X7" s="1">
        <v>255</v>
      </c>
      <c r="Z7" s="39" t="str">
        <f t="shared" si="0"/>
        <v/>
      </c>
      <c r="AA7" s="1">
        <v>0</v>
      </c>
      <c r="AB7" s="1">
        <v>0</v>
      </c>
      <c r="AC7" s="1">
        <v>255</v>
      </c>
      <c r="AD7" s="1">
        <v>255</v>
      </c>
    </row>
    <row r="8" spans="1:30" x14ac:dyDescent="0.25">
      <c r="A8" s="1">
        <v>6</v>
      </c>
      <c r="B8" s="7" t="str">
        <f t="shared" si="4"/>
        <v/>
      </c>
      <c r="C8" s="1">
        <v>-0.25</v>
      </c>
      <c r="D8" s="1">
        <v>135</v>
      </c>
      <c r="E8" s="1">
        <v>206</v>
      </c>
      <c r="F8" s="1">
        <v>250</v>
      </c>
      <c r="G8" s="1"/>
      <c r="H8" s="23" t="str">
        <f t="shared" si="1"/>
        <v/>
      </c>
      <c r="I8" s="1">
        <v>8</v>
      </c>
      <c r="J8" s="1">
        <v>120</v>
      </c>
      <c r="K8" s="1">
        <v>120</v>
      </c>
      <c r="L8" s="1">
        <v>148</v>
      </c>
      <c r="M8" s="1"/>
      <c r="O8" s="1"/>
      <c r="P8" s="1"/>
      <c r="Q8" s="1"/>
      <c r="R8" s="1"/>
      <c r="S8" s="1"/>
      <c r="T8" s="30" t="str">
        <f t="shared" si="3"/>
        <v/>
      </c>
      <c r="U8" s="1">
        <v>2</v>
      </c>
      <c r="V8" s="1">
        <v>150</v>
      </c>
      <c r="W8" s="1">
        <v>110</v>
      </c>
      <c r="X8" s="1">
        <v>70</v>
      </c>
      <c r="Z8" s="37" t="str">
        <f t="shared" si="0"/>
        <v/>
      </c>
      <c r="AA8" s="1">
        <v>3</v>
      </c>
      <c r="AB8" s="1">
        <v>0</v>
      </c>
      <c r="AC8" s="1">
        <v>255</v>
      </c>
      <c r="AD8" s="1">
        <v>0</v>
      </c>
    </row>
    <row r="9" spans="1:30" x14ac:dyDescent="0.25">
      <c r="A9" s="1">
        <v>7</v>
      </c>
      <c r="B9" s="8" t="str">
        <f t="shared" si="4"/>
        <v/>
      </c>
      <c r="C9" s="1">
        <v>-0.05</v>
      </c>
      <c r="D9" s="1">
        <v>176</v>
      </c>
      <c r="E9" s="1">
        <v>226</v>
      </c>
      <c r="F9" s="1">
        <v>255</v>
      </c>
      <c r="G9" s="1"/>
      <c r="H9" s="24" t="str">
        <f t="shared" si="1"/>
        <v/>
      </c>
      <c r="I9" s="1">
        <v>9</v>
      </c>
      <c r="J9" s="1">
        <v>205</v>
      </c>
      <c r="K9" s="1">
        <v>205</v>
      </c>
      <c r="L9" s="1">
        <v>255</v>
      </c>
      <c r="M9" s="1"/>
      <c r="O9" s="1"/>
      <c r="P9" s="1"/>
      <c r="Q9" s="1"/>
      <c r="R9" s="1"/>
      <c r="S9" s="1"/>
      <c r="T9" s="31" t="str">
        <f t="shared" si="3"/>
        <v/>
      </c>
      <c r="U9" s="1">
        <v>5</v>
      </c>
      <c r="V9" s="1">
        <v>103</v>
      </c>
      <c r="W9" s="1">
        <v>60</v>
      </c>
      <c r="X9" s="1">
        <v>30</v>
      </c>
      <c r="Z9" s="34" t="str">
        <f t="shared" si="0"/>
        <v/>
      </c>
      <c r="AA9" s="1">
        <v>6</v>
      </c>
      <c r="AB9" s="1">
        <v>255</v>
      </c>
      <c r="AC9" s="1">
        <v>255</v>
      </c>
      <c r="AD9" s="1">
        <v>0</v>
      </c>
    </row>
    <row r="10" spans="1:30" ht="15.75" thickBot="1" x14ac:dyDescent="0.3">
      <c r="A10" s="1">
        <v>8</v>
      </c>
      <c r="B10" s="9" t="str">
        <f t="shared" si="4"/>
        <v/>
      </c>
      <c r="C10" s="1">
        <v>0</v>
      </c>
      <c r="D10" s="1">
        <v>0</v>
      </c>
      <c r="E10" s="1">
        <v>97</v>
      </c>
      <c r="F10" s="1">
        <v>71</v>
      </c>
      <c r="G10" s="1"/>
      <c r="H10" s="25" t="str">
        <f t="shared" si="1"/>
        <v/>
      </c>
      <c r="I10" s="1">
        <v>25</v>
      </c>
      <c r="J10" s="1">
        <v>205</v>
      </c>
      <c r="K10" s="1">
        <v>205</v>
      </c>
      <c r="L10" s="1">
        <v>255</v>
      </c>
      <c r="M10" s="1"/>
      <c r="O10" s="1"/>
      <c r="P10" s="1"/>
      <c r="Q10" s="1"/>
      <c r="R10" s="1"/>
      <c r="S10" s="1"/>
      <c r="T10" s="32" t="str">
        <f t="shared" si="3"/>
        <v/>
      </c>
      <c r="U10" s="1">
        <v>6</v>
      </c>
      <c r="V10" s="1">
        <v>80</v>
      </c>
      <c r="W10" s="1">
        <v>40</v>
      </c>
      <c r="X10" s="1">
        <v>10</v>
      </c>
      <c r="Z10" s="38" t="str">
        <f t="shared" si="0"/>
        <v/>
      </c>
      <c r="AA10" s="1">
        <v>9</v>
      </c>
      <c r="AB10" s="1">
        <v>255</v>
      </c>
      <c r="AC10" s="1">
        <v>0</v>
      </c>
      <c r="AD10" s="1">
        <v>0</v>
      </c>
    </row>
    <row r="11" spans="1:30" ht="15.75" thickBot="1" x14ac:dyDescent="0.3">
      <c r="A11" s="1">
        <v>9</v>
      </c>
      <c r="B11" s="10" t="str">
        <f t="shared" si="4"/>
        <v/>
      </c>
      <c r="C11" s="1">
        <v>0.25</v>
      </c>
      <c r="D11" s="1">
        <v>16</v>
      </c>
      <c r="E11" s="1">
        <v>122</v>
      </c>
      <c r="F11" s="1">
        <v>47</v>
      </c>
      <c r="G11" s="1"/>
      <c r="I11" s="1"/>
      <c r="J11" s="1"/>
      <c r="K11" s="1"/>
      <c r="L11" s="1"/>
      <c r="M11" s="1"/>
      <c r="O11" s="1"/>
      <c r="P11" s="1"/>
      <c r="Q11" s="1"/>
      <c r="R11" s="1"/>
      <c r="S11" s="1"/>
      <c r="T11" s="33" t="str">
        <f t="shared" si="3"/>
        <v/>
      </c>
      <c r="U11" s="1">
        <v>25</v>
      </c>
      <c r="V11" s="1">
        <v>80</v>
      </c>
      <c r="W11" s="1">
        <v>40</v>
      </c>
      <c r="X11" s="1">
        <v>10</v>
      </c>
      <c r="Z11" s="41" t="str">
        <f t="shared" si="0"/>
        <v/>
      </c>
      <c r="AA11" s="1">
        <v>25</v>
      </c>
      <c r="AB11" s="1">
        <v>255</v>
      </c>
      <c r="AC11" s="1">
        <v>0</v>
      </c>
      <c r="AD11" s="1">
        <v>0</v>
      </c>
    </row>
    <row r="12" spans="1:30" x14ac:dyDescent="0.25">
      <c r="A12" s="1">
        <v>10</v>
      </c>
      <c r="B12" s="11" t="str">
        <f t="shared" si="4"/>
        <v/>
      </c>
      <c r="C12" s="1">
        <v>2.5</v>
      </c>
      <c r="D12" s="1">
        <v>232</v>
      </c>
      <c r="E12" s="1">
        <v>215</v>
      </c>
      <c r="F12" s="1">
        <v>125</v>
      </c>
      <c r="G12" s="1"/>
      <c r="I12" s="1"/>
      <c r="J12" s="1"/>
      <c r="K12" s="1"/>
      <c r="L12" s="1"/>
      <c r="M12" s="1"/>
      <c r="O12" s="1"/>
      <c r="P12" s="1"/>
      <c r="Q12" s="1"/>
      <c r="R12" s="1"/>
      <c r="S12" s="1"/>
      <c r="U12" s="1"/>
      <c r="V12" s="1"/>
      <c r="W12" s="1"/>
      <c r="X12" s="1"/>
    </row>
    <row r="13" spans="1:30" x14ac:dyDescent="0.25">
      <c r="A13" s="1">
        <v>11</v>
      </c>
      <c r="B13" s="12" t="str">
        <f t="shared" si="4"/>
        <v/>
      </c>
      <c r="C13" s="1">
        <v>6</v>
      </c>
      <c r="D13" s="1">
        <v>161</v>
      </c>
      <c r="E13" s="1">
        <v>67</v>
      </c>
      <c r="F13" s="1">
        <v>0</v>
      </c>
      <c r="G13" s="1"/>
      <c r="I13" s="1"/>
      <c r="J13" s="1"/>
      <c r="K13" s="1"/>
      <c r="L13" s="1"/>
      <c r="M13" s="1"/>
      <c r="O13" s="1"/>
      <c r="P13" s="1"/>
      <c r="Q13" s="1"/>
      <c r="R13" s="1"/>
      <c r="S13" s="1"/>
      <c r="U13" s="1"/>
      <c r="V13" s="1"/>
      <c r="W13" s="1"/>
      <c r="X13" s="1"/>
    </row>
    <row r="14" spans="1:30" x14ac:dyDescent="0.25">
      <c r="A14" s="1">
        <v>12</v>
      </c>
      <c r="B14" s="13" t="str">
        <f t="shared" si="4"/>
        <v/>
      </c>
      <c r="C14" s="1">
        <v>9</v>
      </c>
      <c r="D14" s="1">
        <v>130</v>
      </c>
      <c r="E14" s="1">
        <v>30</v>
      </c>
      <c r="F14" s="1">
        <v>30</v>
      </c>
      <c r="H14" s="1"/>
      <c r="I14" s="1"/>
      <c r="J14" s="1"/>
      <c r="K14" s="1"/>
      <c r="M14" s="1"/>
      <c r="N14" s="1"/>
      <c r="O14" s="1"/>
      <c r="P14" s="1"/>
      <c r="Q14" s="1"/>
      <c r="S14" s="1"/>
      <c r="T14" s="1"/>
      <c r="U14" s="1"/>
      <c r="V14" s="1"/>
    </row>
    <row r="15" spans="1:30" ht="15.75" thickBot="1" x14ac:dyDescent="0.3">
      <c r="A15" s="1">
        <v>13</v>
      </c>
      <c r="B15" s="14" t="str">
        <f t="shared" si="4"/>
        <v/>
      </c>
      <c r="C15" s="1">
        <v>14</v>
      </c>
      <c r="D15" s="1">
        <v>161</v>
      </c>
      <c r="E15" s="1">
        <v>161</v>
      </c>
      <c r="F15" s="1">
        <v>161</v>
      </c>
      <c r="S15" s="17"/>
    </row>
    <row r="16" spans="1:30" ht="15.75" thickBot="1" x14ac:dyDescent="0.3">
      <c r="A16" s="1">
        <v>14</v>
      </c>
      <c r="B16" s="15" t="str">
        <f t="shared" si="4"/>
        <v/>
      </c>
      <c r="C16" s="1">
        <v>20</v>
      </c>
      <c r="D16" s="1">
        <v>206</v>
      </c>
      <c r="E16" s="1">
        <v>206</v>
      </c>
      <c r="F16" s="1">
        <v>206</v>
      </c>
      <c r="H16" s="69"/>
      <c r="I16" s="74" t="s">
        <v>14</v>
      </c>
      <c r="J16" s="74" t="s">
        <v>15</v>
      </c>
      <c r="K16" s="75" t="s">
        <v>17</v>
      </c>
      <c r="S16" s="1"/>
    </row>
    <row r="17" spans="1:19" ht="15.75" thickBot="1" x14ac:dyDescent="0.3">
      <c r="A17" s="1">
        <v>15</v>
      </c>
      <c r="B17" s="16" t="str">
        <f t="shared" si="4"/>
        <v/>
      </c>
      <c r="C17" s="1">
        <v>25</v>
      </c>
      <c r="D17" s="1">
        <v>255</v>
      </c>
      <c r="E17" s="1">
        <v>255</v>
      </c>
      <c r="F17" s="1">
        <v>255</v>
      </c>
      <c r="H17" s="72" t="s">
        <v>12</v>
      </c>
      <c r="I17" s="69">
        <v>-30</v>
      </c>
      <c r="J17" s="76">
        <v>1</v>
      </c>
      <c r="K17" s="119">
        <f>IFERROR(I17/(J18-J17),0)</f>
        <v>-2.7272727272727271</v>
      </c>
      <c r="S17" s="1"/>
    </row>
    <row r="18" spans="1:19" x14ac:dyDescent="0.25">
      <c r="H18" s="72" t="s">
        <v>16</v>
      </c>
      <c r="I18" s="78">
        <v>0</v>
      </c>
      <c r="J18" s="68">
        <v>12</v>
      </c>
      <c r="K18" s="116"/>
      <c r="S18" s="1"/>
    </row>
    <row r="19" spans="1:19" ht="15.75" thickBot="1" x14ac:dyDescent="0.3">
      <c r="H19" s="73" t="s">
        <v>13</v>
      </c>
      <c r="I19" s="79">
        <v>30</v>
      </c>
      <c r="J19" s="71">
        <v>24</v>
      </c>
      <c r="K19" s="115">
        <f>I19/(J19-J18)</f>
        <v>2.5</v>
      </c>
      <c r="S19" s="1"/>
    </row>
    <row r="20" spans="1:19" ht="15.75" thickBot="1" x14ac:dyDescent="0.3">
      <c r="J20" s="1"/>
      <c r="S20" s="1"/>
    </row>
    <row r="21" spans="1:19" ht="15.75" thickBot="1" x14ac:dyDescent="0.3">
      <c r="B21" s="18" t="s">
        <v>0</v>
      </c>
      <c r="C21" s="17" t="s">
        <v>4</v>
      </c>
      <c r="D21" s="17" t="s">
        <v>1</v>
      </c>
      <c r="E21" s="17" t="s">
        <v>2</v>
      </c>
      <c r="F21" s="17" t="s">
        <v>3</v>
      </c>
      <c r="H21" s="108" t="s">
        <v>11</v>
      </c>
      <c r="I21" s="109" t="s">
        <v>0</v>
      </c>
      <c r="J21" s="110" t="s">
        <v>4</v>
      </c>
      <c r="K21" s="110" t="s">
        <v>1</v>
      </c>
      <c r="L21" s="110" t="s">
        <v>2</v>
      </c>
      <c r="M21" s="111" t="s">
        <v>3</v>
      </c>
      <c r="Q21" s="76">
        <v>0</v>
      </c>
      <c r="R21" s="76">
        <v>0</v>
      </c>
      <c r="S21" s="77">
        <v>51</v>
      </c>
    </row>
    <row r="22" spans="1:19" ht="15.75" thickBot="1" x14ac:dyDescent="0.3">
      <c r="A22" s="66">
        <v>1</v>
      </c>
      <c r="B22" s="42" t="str">
        <f>SetRGB(B22,D22,E22,F22)</f>
        <v/>
      </c>
      <c r="C22" s="1">
        <v>-25</v>
      </c>
      <c r="D22" s="1">
        <v>0</v>
      </c>
      <c r="E22" s="1">
        <v>0</v>
      </c>
      <c r="F22" s="1">
        <v>51</v>
      </c>
      <c r="H22" s="105">
        <v>1</v>
      </c>
      <c r="I22" s="80" t="str">
        <f>SetRGB(I22,K22,L22,M22)</f>
        <v/>
      </c>
      <c r="J22" s="113">
        <f t="shared" ref="J22:J45" si="5">ROUND(IF(H22=$J$18,$I$18,IF(H22=$J$17,$I$17,IF(H22=$J$19,$I$19,IF(H22&lt;$J$18,$I$17-((H22-$J$17)*$K$17),$I$18+((H22-$J$18)*$K$19))))),1)</f>
        <v>-30</v>
      </c>
      <c r="K22" s="106">
        <v>0</v>
      </c>
      <c r="L22" s="106">
        <v>0</v>
      </c>
      <c r="M22" s="107">
        <v>51</v>
      </c>
      <c r="Q22" s="68">
        <v>0</v>
      </c>
      <c r="R22" s="68">
        <v>0</v>
      </c>
      <c r="S22" s="70">
        <v>91</v>
      </c>
    </row>
    <row r="23" spans="1:19" ht="15.75" thickBot="1" x14ac:dyDescent="0.3">
      <c r="A23" s="66">
        <v>2</v>
      </c>
      <c r="B23" s="44" t="str">
        <f t="shared" ref="B23:B45" si="6">SetRGB(B23,D23,E23,F23)</f>
        <v/>
      </c>
      <c r="C23" s="1">
        <v>-15</v>
      </c>
      <c r="D23" s="1">
        <v>0</v>
      </c>
      <c r="E23" s="1">
        <v>0</v>
      </c>
      <c r="F23" s="1">
        <v>91</v>
      </c>
      <c r="H23" s="78">
        <v>2</v>
      </c>
      <c r="I23" s="81" t="str">
        <f>SetRGB(I23,K23,L23,M23)</f>
        <v/>
      </c>
      <c r="J23" s="112">
        <f t="shared" si="5"/>
        <v>-27.3</v>
      </c>
      <c r="K23" s="68">
        <v>0</v>
      </c>
      <c r="L23" s="68">
        <v>0</v>
      </c>
      <c r="M23" s="70">
        <v>91</v>
      </c>
      <c r="Q23" s="68">
        <v>0</v>
      </c>
      <c r="R23" s="68">
        <v>0</v>
      </c>
      <c r="S23" s="70">
        <v>132</v>
      </c>
    </row>
    <row r="24" spans="1:19" ht="15.75" thickBot="1" x14ac:dyDescent="0.3">
      <c r="A24" s="66">
        <v>3</v>
      </c>
      <c r="B24" s="45" t="str">
        <f t="shared" si="6"/>
        <v/>
      </c>
      <c r="C24" s="66">
        <v>-10</v>
      </c>
      <c r="D24" s="1">
        <v>0</v>
      </c>
      <c r="E24" s="1">
        <v>0</v>
      </c>
      <c r="F24" s="1">
        <v>132</v>
      </c>
      <c r="H24" s="78">
        <v>3</v>
      </c>
      <c r="I24" s="82" t="str">
        <f t="shared" ref="I24:I45" si="7">SetRGB(I24,K24,L24,M24)</f>
        <v/>
      </c>
      <c r="J24" s="112">
        <f t="shared" si="5"/>
        <v>-24.5</v>
      </c>
      <c r="K24" s="68">
        <v>0</v>
      </c>
      <c r="L24" s="68">
        <v>0</v>
      </c>
      <c r="M24" s="70">
        <v>132</v>
      </c>
      <c r="Q24" s="68">
        <v>0</v>
      </c>
      <c r="R24" s="68">
        <v>0</v>
      </c>
      <c r="S24" s="70">
        <v>173</v>
      </c>
    </row>
    <row r="25" spans="1:19" ht="15.75" thickBot="1" x14ac:dyDescent="0.3">
      <c r="A25" s="66">
        <v>4</v>
      </c>
      <c r="B25" s="46" t="str">
        <f t="shared" si="6"/>
        <v/>
      </c>
      <c r="C25" s="66">
        <v>-7.5</v>
      </c>
      <c r="D25" s="1">
        <v>0</v>
      </c>
      <c r="E25" s="1">
        <v>0</v>
      </c>
      <c r="F25" s="1">
        <v>173</v>
      </c>
      <c r="H25" s="78">
        <v>4</v>
      </c>
      <c r="I25" s="83" t="str">
        <f t="shared" si="7"/>
        <v/>
      </c>
      <c r="J25" s="112">
        <f t="shared" si="5"/>
        <v>-21.8</v>
      </c>
      <c r="K25" s="68">
        <v>0</v>
      </c>
      <c r="L25" s="68">
        <v>0</v>
      </c>
      <c r="M25" s="70">
        <v>173</v>
      </c>
      <c r="Q25" s="68">
        <v>0</v>
      </c>
      <c r="R25" s="68">
        <v>0</v>
      </c>
      <c r="S25" s="70">
        <v>214</v>
      </c>
    </row>
    <row r="26" spans="1:19" ht="15.75" thickBot="1" x14ac:dyDescent="0.3">
      <c r="A26" s="66">
        <v>5</v>
      </c>
      <c r="B26" s="47" t="str">
        <f t="shared" si="6"/>
        <v/>
      </c>
      <c r="C26" s="66">
        <v>-6</v>
      </c>
      <c r="D26" s="1">
        <v>0</v>
      </c>
      <c r="E26" s="1">
        <v>0</v>
      </c>
      <c r="F26" s="1">
        <v>214</v>
      </c>
      <c r="H26" s="78">
        <v>5</v>
      </c>
      <c r="I26" s="84" t="str">
        <f t="shared" si="7"/>
        <v/>
      </c>
      <c r="J26" s="112">
        <f t="shared" si="5"/>
        <v>-19.100000000000001</v>
      </c>
      <c r="K26" s="68">
        <v>0</v>
      </c>
      <c r="L26" s="68">
        <v>0</v>
      </c>
      <c r="M26" s="70">
        <v>214</v>
      </c>
      <c r="Q26" s="68">
        <v>0</v>
      </c>
      <c r="R26" s="68">
        <v>0</v>
      </c>
      <c r="S26" s="70">
        <v>255</v>
      </c>
    </row>
    <row r="27" spans="1:19" ht="15.75" thickBot="1" x14ac:dyDescent="0.3">
      <c r="A27" s="66">
        <v>6</v>
      </c>
      <c r="B27" s="48" t="str">
        <f t="shared" si="6"/>
        <v/>
      </c>
      <c r="C27" s="66">
        <v>-5</v>
      </c>
      <c r="D27" s="1">
        <v>0</v>
      </c>
      <c r="E27" s="1">
        <v>0</v>
      </c>
      <c r="F27" s="1">
        <v>255</v>
      </c>
      <c r="H27" s="78">
        <v>6</v>
      </c>
      <c r="I27" s="85" t="str">
        <f t="shared" si="7"/>
        <v/>
      </c>
      <c r="J27" s="112">
        <f t="shared" si="5"/>
        <v>-16.399999999999999</v>
      </c>
      <c r="K27" s="68">
        <v>0</v>
      </c>
      <c r="L27" s="68">
        <v>0</v>
      </c>
      <c r="M27" s="70">
        <v>255</v>
      </c>
      <c r="Q27" s="68">
        <v>0</v>
      </c>
      <c r="R27" s="68">
        <v>42</v>
      </c>
      <c r="S27" s="70">
        <v>255</v>
      </c>
    </row>
    <row r="28" spans="1:19" ht="15.75" thickBot="1" x14ac:dyDescent="0.3">
      <c r="A28" s="66">
        <v>7</v>
      </c>
      <c r="B28" s="49" t="str">
        <f t="shared" si="6"/>
        <v/>
      </c>
      <c r="C28" s="66">
        <v>-4</v>
      </c>
      <c r="D28" s="1">
        <v>0</v>
      </c>
      <c r="E28" s="1">
        <v>42</v>
      </c>
      <c r="F28" s="1">
        <v>255</v>
      </c>
      <c r="H28" s="78">
        <v>7</v>
      </c>
      <c r="I28" s="86" t="str">
        <f t="shared" si="7"/>
        <v/>
      </c>
      <c r="J28" s="112">
        <f t="shared" si="5"/>
        <v>-13.6</v>
      </c>
      <c r="K28" s="68">
        <v>0</v>
      </c>
      <c r="L28" s="68">
        <v>42</v>
      </c>
      <c r="M28" s="70">
        <v>255</v>
      </c>
      <c r="Q28" s="68">
        <v>0</v>
      </c>
      <c r="R28" s="68">
        <v>85</v>
      </c>
      <c r="S28" s="70">
        <v>255</v>
      </c>
    </row>
    <row r="29" spans="1:19" ht="15.75" thickBot="1" x14ac:dyDescent="0.3">
      <c r="A29" s="66">
        <v>8</v>
      </c>
      <c r="B29" s="50" t="str">
        <f t="shared" si="6"/>
        <v/>
      </c>
      <c r="C29" s="66">
        <v>-3</v>
      </c>
      <c r="D29" s="1">
        <v>0</v>
      </c>
      <c r="E29" s="1">
        <v>85</v>
      </c>
      <c r="F29" s="1">
        <v>255</v>
      </c>
      <c r="H29" s="78">
        <v>8</v>
      </c>
      <c r="I29" s="87" t="str">
        <f t="shared" si="7"/>
        <v/>
      </c>
      <c r="J29" s="112">
        <f t="shared" si="5"/>
        <v>-10.9</v>
      </c>
      <c r="K29" s="68">
        <v>0</v>
      </c>
      <c r="L29" s="68">
        <v>85</v>
      </c>
      <c r="M29" s="70">
        <v>255</v>
      </c>
      <c r="Q29" s="68">
        <v>0</v>
      </c>
      <c r="R29" s="68">
        <v>127</v>
      </c>
      <c r="S29" s="70">
        <v>255</v>
      </c>
    </row>
    <row r="30" spans="1:19" ht="15.75" thickBot="1" x14ac:dyDescent="0.3">
      <c r="A30" s="66">
        <v>9</v>
      </c>
      <c r="B30" s="51" t="str">
        <f t="shared" si="6"/>
        <v/>
      </c>
      <c r="C30" s="66">
        <v>-2</v>
      </c>
      <c r="D30" s="1">
        <v>0</v>
      </c>
      <c r="E30" s="1">
        <v>127</v>
      </c>
      <c r="F30" s="1">
        <v>255</v>
      </c>
      <c r="H30" s="78">
        <v>9</v>
      </c>
      <c r="I30" s="88" t="str">
        <f t="shared" si="7"/>
        <v/>
      </c>
      <c r="J30" s="112">
        <f t="shared" si="5"/>
        <v>-8.1999999999999993</v>
      </c>
      <c r="K30" s="68">
        <v>0</v>
      </c>
      <c r="L30" s="68">
        <v>127</v>
      </c>
      <c r="M30" s="70">
        <v>255</v>
      </c>
      <c r="Q30" s="68">
        <v>0</v>
      </c>
      <c r="R30" s="68">
        <v>169</v>
      </c>
      <c r="S30" s="70">
        <v>255</v>
      </c>
    </row>
    <row r="31" spans="1:19" ht="15.75" thickBot="1" x14ac:dyDescent="0.3">
      <c r="A31" s="66">
        <v>10</v>
      </c>
      <c r="B31" s="52" t="str">
        <f t="shared" si="6"/>
        <v/>
      </c>
      <c r="C31" s="1">
        <v>-1</v>
      </c>
      <c r="D31" s="1">
        <v>0</v>
      </c>
      <c r="E31" s="1">
        <v>169</v>
      </c>
      <c r="F31" s="1">
        <v>255</v>
      </c>
      <c r="H31" s="78">
        <v>10</v>
      </c>
      <c r="I31" s="89" t="str">
        <f t="shared" si="7"/>
        <v/>
      </c>
      <c r="J31" s="112">
        <f t="shared" si="5"/>
        <v>-5.5</v>
      </c>
      <c r="K31" s="68">
        <v>0</v>
      </c>
      <c r="L31" s="68">
        <v>169</v>
      </c>
      <c r="M31" s="70">
        <v>255</v>
      </c>
      <c r="Q31" s="68">
        <v>0</v>
      </c>
      <c r="R31" s="68">
        <v>212</v>
      </c>
      <c r="S31" s="70">
        <v>255</v>
      </c>
    </row>
    <row r="32" spans="1:19" ht="15.75" thickBot="1" x14ac:dyDescent="0.3">
      <c r="A32" s="66">
        <v>11</v>
      </c>
      <c r="B32" s="53" t="str">
        <f t="shared" si="6"/>
        <v/>
      </c>
      <c r="C32" s="1">
        <v>-0.5</v>
      </c>
      <c r="D32" s="1">
        <v>0</v>
      </c>
      <c r="E32" s="1">
        <v>212</v>
      </c>
      <c r="F32" s="1">
        <v>255</v>
      </c>
      <c r="H32" s="78">
        <v>11</v>
      </c>
      <c r="I32" s="90" t="str">
        <f t="shared" si="7"/>
        <v/>
      </c>
      <c r="J32" s="112">
        <f t="shared" si="5"/>
        <v>-2.7</v>
      </c>
      <c r="K32" s="68">
        <v>0</v>
      </c>
      <c r="L32" s="68">
        <v>212</v>
      </c>
      <c r="M32" s="70">
        <v>255</v>
      </c>
      <c r="Q32" s="68">
        <v>0</v>
      </c>
      <c r="R32" s="68">
        <v>255</v>
      </c>
      <c r="S32" s="70">
        <v>255</v>
      </c>
    </row>
    <row r="33" spans="1:19" ht="15.75" thickBot="1" x14ac:dyDescent="0.3">
      <c r="A33" s="66">
        <v>12</v>
      </c>
      <c r="B33" s="54" t="str">
        <f t="shared" si="6"/>
        <v/>
      </c>
      <c r="C33" s="1">
        <v>0</v>
      </c>
      <c r="D33" s="1">
        <v>0</v>
      </c>
      <c r="E33" s="1">
        <v>255</v>
      </c>
      <c r="F33" s="1">
        <v>255</v>
      </c>
      <c r="H33" s="78">
        <v>12</v>
      </c>
      <c r="I33" s="91" t="str">
        <f t="shared" si="7"/>
        <v/>
      </c>
      <c r="J33" s="112">
        <f t="shared" si="5"/>
        <v>0</v>
      </c>
      <c r="K33" s="68">
        <v>0</v>
      </c>
      <c r="L33" s="68">
        <v>255</v>
      </c>
      <c r="M33" s="70">
        <v>255</v>
      </c>
      <c r="Q33" s="68">
        <v>0</v>
      </c>
      <c r="R33" s="68">
        <v>102</v>
      </c>
      <c r="S33" s="70">
        <v>51</v>
      </c>
    </row>
    <row r="34" spans="1:19" ht="15.75" thickBot="1" x14ac:dyDescent="0.3">
      <c r="A34" s="66">
        <v>13</v>
      </c>
      <c r="B34" s="55" t="str">
        <f t="shared" si="6"/>
        <v/>
      </c>
      <c r="C34" s="1">
        <v>0</v>
      </c>
      <c r="D34" s="1">
        <v>0</v>
      </c>
      <c r="E34" s="1">
        <v>102</v>
      </c>
      <c r="F34" s="1">
        <v>51</v>
      </c>
      <c r="H34" s="78">
        <v>13</v>
      </c>
      <c r="I34" s="92" t="str">
        <f t="shared" si="7"/>
        <v/>
      </c>
      <c r="J34" s="112">
        <f t="shared" si="5"/>
        <v>2.5</v>
      </c>
      <c r="K34" s="68">
        <v>0</v>
      </c>
      <c r="L34" s="68">
        <v>102</v>
      </c>
      <c r="M34" s="70">
        <v>51</v>
      </c>
      <c r="Q34" s="68">
        <v>16</v>
      </c>
      <c r="R34" s="68">
        <v>127</v>
      </c>
      <c r="S34" s="70">
        <v>53</v>
      </c>
    </row>
    <row r="35" spans="1:19" ht="15.75" thickBot="1" x14ac:dyDescent="0.3">
      <c r="A35" s="66">
        <v>14</v>
      </c>
      <c r="B35" s="58" t="str">
        <f t="shared" si="6"/>
        <v/>
      </c>
      <c r="C35" s="1">
        <v>1</v>
      </c>
      <c r="D35" s="1">
        <v>16</v>
      </c>
      <c r="E35" s="1">
        <v>127</v>
      </c>
      <c r="F35" s="1">
        <v>53</v>
      </c>
      <c r="H35" s="78">
        <v>14</v>
      </c>
      <c r="I35" s="93" t="str">
        <f t="shared" si="7"/>
        <v/>
      </c>
      <c r="J35" s="112">
        <f t="shared" si="5"/>
        <v>5</v>
      </c>
      <c r="K35" s="68">
        <v>16</v>
      </c>
      <c r="L35" s="68">
        <v>127</v>
      </c>
      <c r="M35" s="70">
        <v>53</v>
      </c>
      <c r="Q35" s="68">
        <v>40</v>
      </c>
      <c r="R35" s="68">
        <v>153</v>
      </c>
      <c r="S35" s="70">
        <v>59</v>
      </c>
    </row>
    <row r="36" spans="1:19" ht="15.75" thickBot="1" x14ac:dyDescent="0.3">
      <c r="A36" s="66">
        <v>15</v>
      </c>
      <c r="B36" s="56" t="str">
        <f t="shared" si="6"/>
        <v/>
      </c>
      <c r="C36" s="1">
        <v>3</v>
      </c>
      <c r="D36" s="1">
        <v>40</v>
      </c>
      <c r="E36" s="1">
        <v>153</v>
      </c>
      <c r="F36" s="1">
        <v>59</v>
      </c>
      <c r="H36" s="78">
        <v>15</v>
      </c>
      <c r="I36" s="94" t="str">
        <f t="shared" si="7"/>
        <v/>
      </c>
      <c r="J36" s="112">
        <f t="shared" si="5"/>
        <v>7.5</v>
      </c>
      <c r="K36" s="68">
        <v>40</v>
      </c>
      <c r="L36" s="68">
        <v>153</v>
      </c>
      <c r="M36" s="70">
        <v>59</v>
      </c>
      <c r="Q36" s="68">
        <v>71</v>
      </c>
      <c r="R36" s="68">
        <v>178</v>
      </c>
      <c r="S36" s="70">
        <v>71</v>
      </c>
    </row>
    <row r="37" spans="1:19" ht="15.75" thickBot="1" x14ac:dyDescent="0.3">
      <c r="A37" s="66">
        <v>16</v>
      </c>
      <c r="B37" s="57" t="str">
        <f t="shared" si="6"/>
        <v/>
      </c>
      <c r="C37" s="1">
        <v>6</v>
      </c>
      <c r="D37" s="1">
        <v>71</v>
      </c>
      <c r="E37" s="1">
        <v>178</v>
      </c>
      <c r="F37" s="1">
        <v>71</v>
      </c>
      <c r="H37" s="78">
        <v>16</v>
      </c>
      <c r="I37" s="95" t="str">
        <f t="shared" si="7"/>
        <v/>
      </c>
      <c r="J37" s="112">
        <f t="shared" si="5"/>
        <v>10</v>
      </c>
      <c r="K37" s="68">
        <v>71</v>
      </c>
      <c r="L37" s="68">
        <v>178</v>
      </c>
      <c r="M37" s="70">
        <v>71</v>
      </c>
      <c r="Q37" s="68">
        <v>124</v>
      </c>
      <c r="R37" s="68">
        <v>204</v>
      </c>
      <c r="S37" s="70">
        <v>108</v>
      </c>
    </row>
    <row r="38" spans="1:19" ht="15.75" thickBot="1" x14ac:dyDescent="0.3">
      <c r="A38" s="66">
        <v>17</v>
      </c>
      <c r="B38" s="59" t="str">
        <f t="shared" si="6"/>
        <v/>
      </c>
      <c r="C38" s="1">
        <v>9</v>
      </c>
      <c r="D38" s="1">
        <v>124</v>
      </c>
      <c r="E38" s="1">
        <v>204</v>
      </c>
      <c r="F38" s="1">
        <v>108</v>
      </c>
      <c r="H38" s="78">
        <v>17</v>
      </c>
      <c r="I38" s="96" t="str">
        <f t="shared" si="7"/>
        <v/>
      </c>
      <c r="J38" s="112">
        <f t="shared" si="5"/>
        <v>12.5</v>
      </c>
      <c r="K38" s="68">
        <v>124</v>
      </c>
      <c r="L38" s="68">
        <v>204</v>
      </c>
      <c r="M38" s="70">
        <v>108</v>
      </c>
      <c r="Q38" s="68">
        <v>178</v>
      </c>
      <c r="R38" s="68">
        <v>229</v>
      </c>
      <c r="S38" s="70">
        <v>153</v>
      </c>
    </row>
    <row r="39" spans="1:19" ht="15.75" thickBot="1" x14ac:dyDescent="0.3">
      <c r="A39" s="66">
        <v>18</v>
      </c>
      <c r="B39" s="60" t="str">
        <f t="shared" si="6"/>
        <v/>
      </c>
      <c r="C39" s="1">
        <v>12</v>
      </c>
      <c r="D39" s="1">
        <v>178</v>
      </c>
      <c r="E39" s="1">
        <v>229</v>
      </c>
      <c r="F39" s="1">
        <v>153</v>
      </c>
      <c r="H39" s="78">
        <v>18</v>
      </c>
      <c r="I39" s="97" t="str">
        <f t="shared" si="7"/>
        <v/>
      </c>
      <c r="J39" s="112">
        <f t="shared" si="5"/>
        <v>15</v>
      </c>
      <c r="K39" s="68">
        <v>178</v>
      </c>
      <c r="L39" s="68">
        <v>229</v>
      </c>
      <c r="M39" s="70">
        <v>153</v>
      </c>
      <c r="Q39" s="68">
        <v>229</v>
      </c>
      <c r="R39" s="68">
        <v>255</v>
      </c>
      <c r="S39" s="70">
        <v>204</v>
      </c>
    </row>
    <row r="40" spans="1:19" ht="15.75" thickBot="1" x14ac:dyDescent="0.3">
      <c r="A40" s="66">
        <v>19</v>
      </c>
      <c r="B40" s="61" t="str">
        <f t="shared" si="6"/>
        <v/>
      </c>
      <c r="C40" s="1">
        <v>15</v>
      </c>
      <c r="D40" s="1">
        <v>229</v>
      </c>
      <c r="E40" s="1">
        <v>255</v>
      </c>
      <c r="F40" s="1">
        <v>204</v>
      </c>
      <c r="H40" s="78">
        <v>19</v>
      </c>
      <c r="I40" s="98" t="str">
        <f t="shared" si="7"/>
        <v/>
      </c>
      <c r="J40" s="112">
        <f t="shared" si="5"/>
        <v>17.5</v>
      </c>
      <c r="K40" s="68">
        <v>229</v>
      </c>
      <c r="L40" s="68">
        <v>255</v>
      </c>
      <c r="M40" s="70">
        <v>204</v>
      </c>
      <c r="Q40" s="68">
        <v>201</v>
      </c>
      <c r="R40" s="68">
        <v>224</v>
      </c>
      <c r="S40" s="70">
        <v>143</v>
      </c>
    </row>
    <row r="41" spans="1:19" ht="15.75" thickBot="1" x14ac:dyDescent="0.3">
      <c r="A41" s="66">
        <v>20</v>
      </c>
      <c r="B41" s="62" t="str">
        <f t="shared" si="6"/>
        <v/>
      </c>
      <c r="C41" s="1">
        <v>18</v>
      </c>
      <c r="D41" s="1">
        <v>201</v>
      </c>
      <c r="E41" s="1">
        <v>224</v>
      </c>
      <c r="F41" s="1">
        <v>143</v>
      </c>
      <c r="H41" s="78">
        <v>20</v>
      </c>
      <c r="I41" s="99" t="str">
        <f t="shared" si="7"/>
        <v/>
      </c>
      <c r="J41" s="112">
        <f t="shared" si="5"/>
        <v>20</v>
      </c>
      <c r="K41" s="68">
        <v>201</v>
      </c>
      <c r="L41" s="68">
        <v>224</v>
      </c>
      <c r="M41" s="70">
        <v>143</v>
      </c>
      <c r="Q41" s="68">
        <v>187</v>
      </c>
      <c r="R41" s="68">
        <v>193</v>
      </c>
      <c r="S41" s="70">
        <v>93</v>
      </c>
    </row>
    <row r="42" spans="1:19" ht="15.75" thickBot="1" x14ac:dyDescent="0.3">
      <c r="A42" s="66">
        <v>21</v>
      </c>
      <c r="B42" s="63" t="str">
        <f t="shared" si="6"/>
        <v/>
      </c>
      <c r="C42" s="1">
        <v>21</v>
      </c>
      <c r="D42" s="1">
        <v>187</v>
      </c>
      <c r="E42" s="1">
        <v>193</v>
      </c>
      <c r="F42" s="1">
        <v>93</v>
      </c>
      <c r="H42" s="78">
        <v>21</v>
      </c>
      <c r="I42" s="100" t="str">
        <f t="shared" si="7"/>
        <v/>
      </c>
      <c r="J42" s="112">
        <f t="shared" si="5"/>
        <v>22.5</v>
      </c>
      <c r="K42" s="68">
        <v>187</v>
      </c>
      <c r="L42" s="68">
        <v>193</v>
      </c>
      <c r="M42" s="70">
        <v>93</v>
      </c>
      <c r="Q42" s="68">
        <v>163</v>
      </c>
      <c r="R42" s="68">
        <v>146</v>
      </c>
      <c r="S42" s="70">
        <v>52</v>
      </c>
    </row>
    <row r="43" spans="1:19" ht="15.75" thickBot="1" x14ac:dyDescent="0.3">
      <c r="A43" s="66">
        <v>22</v>
      </c>
      <c r="B43" s="64" t="str">
        <f t="shared" si="6"/>
        <v/>
      </c>
      <c r="C43" s="1">
        <v>25</v>
      </c>
      <c r="D43" s="1">
        <v>163</v>
      </c>
      <c r="E43" s="1">
        <v>146</v>
      </c>
      <c r="F43" s="1">
        <v>52</v>
      </c>
      <c r="H43" s="78">
        <v>22</v>
      </c>
      <c r="I43" s="101" t="str">
        <f t="shared" si="7"/>
        <v/>
      </c>
      <c r="J43" s="112">
        <f t="shared" si="5"/>
        <v>25</v>
      </c>
      <c r="K43" s="68">
        <v>163</v>
      </c>
      <c r="L43" s="68">
        <v>146</v>
      </c>
      <c r="M43" s="70">
        <v>52</v>
      </c>
      <c r="Q43" s="68">
        <v>132</v>
      </c>
      <c r="R43" s="68">
        <v>91</v>
      </c>
      <c r="S43" s="70">
        <v>21</v>
      </c>
    </row>
    <row r="44" spans="1:19" ht="15.75" thickBot="1" x14ac:dyDescent="0.3">
      <c r="A44" s="66">
        <v>23</v>
      </c>
      <c r="B44" s="65" t="str">
        <f t="shared" si="6"/>
        <v/>
      </c>
      <c r="C44" s="1">
        <v>30</v>
      </c>
      <c r="D44" s="1">
        <v>132</v>
      </c>
      <c r="E44" s="1">
        <v>91</v>
      </c>
      <c r="F44" s="1">
        <v>21</v>
      </c>
      <c r="H44" s="78">
        <v>23</v>
      </c>
      <c r="I44" s="102" t="str">
        <f t="shared" si="7"/>
        <v/>
      </c>
      <c r="J44" s="112">
        <f t="shared" si="5"/>
        <v>27.5</v>
      </c>
      <c r="K44" s="68">
        <v>132</v>
      </c>
      <c r="L44" s="68">
        <v>91</v>
      </c>
      <c r="M44" s="70">
        <v>21</v>
      </c>
      <c r="Q44" s="71">
        <v>102</v>
      </c>
      <c r="R44" s="71">
        <v>42</v>
      </c>
      <c r="S44" s="104">
        <v>0</v>
      </c>
    </row>
    <row r="45" spans="1:19" ht="15.75" thickBot="1" x14ac:dyDescent="0.3">
      <c r="A45" s="66">
        <v>24</v>
      </c>
      <c r="B45" s="43" t="str">
        <f t="shared" si="6"/>
        <v/>
      </c>
      <c r="C45" s="1">
        <v>40</v>
      </c>
      <c r="D45" s="1">
        <v>102</v>
      </c>
      <c r="E45" s="1">
        <v>42</v>
      </c>
      <c r="F45" s="1">
        <v>0</v>
      </c>
      <c r="H45" s="79">
        <v>24</v>
      </c>
      <c r="I45" s="103" t="str">
        <f t="shared" si="7"/>
        <v/>
      </c>
      <c r="J45" s="114">
        <f t="shared" si="5"/>
        <v>30</v>
      </c>
      <c r="K45" s="71">
        <v>102</v>
      </c>
      <c r="L45" s="71">
        <v>42</v>
      </c>
      <c r="M45" s="104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F1FEF-B4CE-41B4-A766-3084726A130E}">
  <sheetPr codeName="Sheet2"/>
  <dimension ref="A1:AA33"/>
  <sheetViews>
    <sheetView tabSelected="1" workbookViewId="0">
      <selection activeCell="R21" sqref="R21"/>
    </sheetView>
  </sheetViews>
  <sheetFormatPr defaultRowHeight="15" x14ac:dyDescent="0.25"/>
  <cols>
    <col min="2" max="2" width="13.5703125" customWidth="1"/>
    <col min="19" max="19" width="16.42578125" customWidth="1"/>
  </cols>
  <sheetData>
    <row r="1" spans="1:27" ht="15.75" thickBot="1" x14ac:dyDescent="0.3"/>
    <row r="2" spans="1:27" ht="15.75" thickBot="1" x14ac:dyDescent="0.3">
      <c r="R2" s="138" t="s">
        <v>25</v>
      </c>
      <c r="S2" s="140" t="s">
        <v>33</v>
      </c>
      <c r="AA2" t="s">
        <v>22</v>
      </c>
    </row>
    <row r="3" spans="1:27" ht="15.75" thickBot="1" x14ac:dyDescent="0.3">
      <c r="B3" s="69"/>
      <c r="C3" s="74" t="s">
        <v>14</v>
      </c>
      <c r="D3" s="74" t="s">
        <v>15</v>
      </c>
      <c r="E3" s="75" t="s">
        <v>17</v>
      </c>
      <c r="K3" t="s">
        <v>21</v>
      </c>
      <c r="R3" s="138" t="s">
        <v>26</v>
      </c>
      <c r="S3" s="137" t="s">
        <v>28</v>
      </c>
      <c r="AA3">
        <f>ROUND(IF(J10=$D$5,$C$5,IF(J10=($D$5+1),$C$5,IF(J10=$D$4,$C$4,IF(J10=$D$6,$C$6,IF(J10&lt;$D$5,$C$4-((J10-$D$4)*$E$4),$C$5+((J10-$D$5)*$E$6)))))),1)</f>
        <v>-15</v>
      </c>
    </row>
    <row r="4" spans="1:27" ht="15.75" thickBot="1" x14ac:dyDescent="0.3">
      <c r="B4" s="117" t="s">
        <v>12</v>
      </c>
      <c r="C4" s="69">
        <v>-15</v>
      </c>
      <c r="D4" s="77">
        <v>1</v>
      </c>
      <c r="E4" s="129">
        <f>IFERROR(C4/(D5-D4),0)</f>
        <v>-1.3636363636363635</v>
      </c>
      <c r="J4" s="125" t="s">
        <v>20</v>
      </c>
      <c r="K4" s="126">
        <v>12</v>
      </c>
      <c r="L4" s="1"/>
      <c r="R4" s="138" t="s">
        <v>27</v>
      </c>
      <c r="S4" s="137" t="s">
        <v>29</v>
      </c>
    </row>
    <row r="5" spans="1:27" ht="15.75" thickBot="1" x14ac:dyDescent="0.3">
      <c r="B5" s="117" t="s">
        <v>16</v>
      </c>
      <c r="C5" s="78">
        <v>0</v>
      </c>
      <c r="D5" s="70">
        <v>12</v>
      </c>
      <c r="E5" s="130"/>
    </row>
    <row r="6" spans="1:27" ht="15.75" thickBot="1" x14ac:dyDescent="0.3">
      <c r="B6" s="118" t="s">
        <v>13</v>
      </c>
      <c r="C6" s="79">
        <v>10</v>
      </c>
      <c r="D6" s="104">
        <v>19</v>
      </c>
      <c r="E6" s="131">
        <f>IFERROR(C6/(D6-D5),0)</f>
        <v>1.4285714285714286</v>
      </c>
      <c r="J6" t="s">
        <v>23</v>
      </c>
      <c r="K6" s="127">
        <f>IFERROR(C6/(D6-D5-1),0)</f>
        <v>1.6666666666666667</v>
      </c>
      <c r="R6" s="139" t="s">
        <v>30</v>
      </c>
      <c r="S6" s="126" t="s">
        <v>32</v>
      </c>
    </row>
    <row r="7" spans="1:27" ht="15.75" thickBot="1" x14ac:dyDescent="0.3">
      <c r="B7" s="123"/>
      <c r="C7" s="67"/>
      <c r="D7" s="67"/>
      <c r="E7" s="124"/>
      <c r="R7" s="138" t="s">
        <v>24</v>
      </c>
      <c r="S7" s="126">
        <v>1</v>
      </c>
    </row>
    <row r="8" spans="1:27" ht="15.75" thickBot="1" x14ac:dyDescent="0.3">
      <c r="A8" s="18" t="s">
        <v>18</v>
      </c>
      <c r="D8" s="1"/>
      <c r="I8" s="18" t="s">
        <v>19</v>
      </c>
    </row>
    <row r="9" spans="1:27" ht="15.75" thickBot="1" x14ac:dyDescent="0.3">
      <c r="B9" s="108" t="s">
        <v>11</v>
      </c>
      <c r="C9" s="136" t="s">
        <v>0</v>
      </c>
      <c r="D9" s="110" t="s">
        <v>4</v>
      </c>
      <c r="E9" s="110" t="s">
        <v>1</v>
      </c>
      <c r="F9" s="110" t="s">
        <v>2</v>
      </c>
      <c r="G9" s="111" t="s">
        <v>3</v>
      </c>
      <c r="J9" s="128" t="s">
        <v>11</v>
      </c>
      <c r="K9" s="135" t="s">
        <v>0</v>
      </c>
      <c r="L9" s="74" t="s">
        <v>4</v>
      </c>
      <c r="M9" s="74" t="s">
        <v>1</v>
      </c>
      <c r="N9" s="74" t="s">
        <v>2</v>
      </c>
      <c r="O9" s="75" t="s">
        <v>3</v>
      </c>
    </row>
    <row r="10" spans="1:27" x14ac:dyDescent="0.25">
      <c r="B10" s="69">
        <v>1</v>
      </c>
      <c r="C10" s="120" t="str">
        <f>SetRGB(C10,E10,F10,G10)</f>
        <v/>
      </c>
      <c r="D10" s="121">
        <f>ROUND(IF(B10=$D$5,$C$5,IF(B10=$D$4,$C$4,IF(B10=$D$6,$C$6,IF(B10&lt;$D$5,$C$4-((B10-$D$4)*$E$4),$C$5+((B10-$D$5)*$E$6))))),1)</f>
        <v>-15</v>
      </c>
      <c r="E10" s="76">
        <v>0</v>
      </c>
      <c r="F10" s="76">
        <v>0</v>
      </c>
      <c r="G10" s="77">
        <v>51</v>
      </c>
      <c r="J10" s="69">
        <v>1</v>
      </c>
      <c r="K10" s="120" t="str">
        <f>SetRGB(K10,M10,N10,O10)</f>
        <v/>
      </c>
      <c r="L10" s="133">
        <f>IF(J10=$D$5,$C$5,IF(J10=$D$4,$C$4,IF(J10=($K$4+1),L9,IF(J10&lt;$D$5,$C$4-((J10-$D$4)*$E$4),L9+$K$6))))</f>
        <v>-15</v>
      </c>
      <c r="M10" s="76">
        <v>0</v>
      </c>
      <c r="N10" s="76">
        <v>0</v>
      </c>
      <c r="O10" s="77">
        <v>51</v>
      </c>
    </row>
    <row r="11" spans="1:27" x14ac:dyDescent="0.25">
      <c r="B11" s="78">
        <v>2</v>
      </c>
      <c r="C11" s="81" t="str">
        <f>SetRGB(C11,E11,F11,G11)</f>
        <v/>
      </c>
      <c r="D11" s="113">
        <f t="shared" ref="D11:D33" si="0">ROUND(IF(B11=$D$5,$C$5,IF(B11=$D$4,$C$4,IF(B11=$D$6,$C$6,IF(B11&lt;$D$5,$C$4-((B11-$D$4)*$E$4),$C$5+((B11-$D$5)*$E$6))))),1)</f>
        <v>-13.6</v>
      </c>
      <c r="E11" s="68">
        <v>0</v>
      </c>
      <c r="F11" s="68">
        <v>0</v>
      </c>
      <c r="G11" s="70">
        <v>91</v>
      </c>
      <c r="J11" s="78">
        <v>2</v>
      </c>
      <c r="K11" s="81" t="str">
        <f>SetRGB(K11,M11,N11,O11)</f>
        <v/>
      </c>
      <c r="L11" s="132">
        <f t="shared" ref="L11:L33" si="1">IF(J11=$D$5,$C$5,IF(J11=$D$4,$C$4,IF(J11=($K$4+1),L10,IF(J11&lt;$D$5,$C$4-((J11-$D$4)*$E$4),L10+$K$6))))</f>
        <v>-13.636363636363637</v>
      </c>
      <c r="M11" s="68">
        <v>0</v>
      </c>
      <c r="N11" s="68">
        <v>0</v>
      </c>
      <c r="O11" s="70">
        <v>91</v>
      </c>
    </row>
    <row r="12" spans="1:27" x14ac:dyDescent="0.25">
      <c r="B12" s="78">
        <v>3</v>
      </c>
      <c r="C12" s="82" t="str">
        <f t="shared" ref="C12:C33" si="2">SetRGB(C12,E12,F12,G12)</f>
        <v/>
      </c>
      <c r="D12" s="113">
        <f t="shared" si="0"/>
        <v>-12.3</v>
      </c>
      <c r="E12" s="68">
        <v>0</v>
      </c>
      <c r="F12" s="68">
        <v>0</v>
      </c>
      <c r="G12" s="70">
        <v>132</v>
      </c>
      <c r="J12" s="78">
        <v>3</v>
      </c>
      <c r="K12" s="82" t="str">
        <f t="shared" ref="K12:K33" si="3">SetRGB(K12,M12,N12,O12)</f>
        <v/>
      </c>
      <c r="L12" s="132">
        <f t="shared" si="1"/>
        <v>-12.272727272727273</v>
      </c>
      <c r="M12" s="68">
        <v>0</v>
      </c>
      <c r="N12" s="68">
        <v>0</v>
      </c>
      <c r="O12" s="70">
        <v>132</v>
      </c>
    </row>
    <row r="13" spans="1:27" x14ac:dyDescent="0.25">
      <c r="B13" s="78">
        <v>4</v>
      </c>
      <c r="C13" s="83" t="str">
        <f t="shared" si="2"/>
        <v/>
      </c>
      <c r="D13" s="113">
        <f t="shared" si="0"/>
        <v>-10.9</v>
      </c>
      <c r="E13" s="68">
        <v>0</v>
      </c>
      <c r="F13" s="68">
        <v>0</v>
      </c>
      <c r="G13" s="70">
        <v>173</v>
      </c>
      <c r="J13" s="78">
        <v>4</v>
      </c>
      <c r="K13" s="83" t="str">
        <f t="shared" si="3"/>
        <v/>
      </c>
      <c r="L13" s="132">
        <f t="shared" si="1"/>
        <v>-10.90909090909091</v>
      </c>
      <c r="M13" s="68">
        <v>0</v>
      </c>
      <c r="N13" s="68">
        <v>0</v>
      </c>
      <c r="O13" s="70">
        <v>173</v>
      </c>
    </row>
    <row r="14" spans="1:27" x14ac:dyDescent="0.25">
      <c r="B14" s="78">
        <v>5</v>
      </c>
      <c r="C14" s="84" t="str">
        <f t="shared" si="2"/>
        <v/>
      </c>
      <c r="D14" s="113">
        <f t="shared" si="0"/>
        <v>-9.5</v>
      </c>
      <c r="E14" s="68">
        <v>0</v>
      </c>
      <c r="F14" s="68">
        <v>0</v>
      </c>
      <c r="G14" s="70">
        <v>214</v>
      </c>
      <c r="J14" s="78">
        <v>5</v>
      </c>
      <c r="K14" s="84" t="str">
        <f t="shared" si="3"/>
        <v/>
      </c>
      <c r="L14" s="132">
        <f t="shared" si="1"/>
        <v>-9.5454545454545467</v>
      </c>
      <c r="M14" s="68">
        <v>0</v>
      </c>
      <c r="N14" s="68">
        <v>0</v>
      </c>
      <c r="O14" s="70">
        <v>214</v>
      </c>
    </row>
    <row r="15" spans="1:27" x14ac:dyDescent="0.25">
      <c r="B15" s="78">
        <v>6</v>
      </c>
      <c r="C15" s="85" t="str">
        <f t="shared" si="2"/>
        <v/>
      </c>
      <c r="D15" s="113">
        <f t="shared" si="0"/>
        <v>-8.1999999999999993</v>
      </c>
      <c r="E15" s="68">
        <v>0</v>
      </c>
      <c r="F15" s="68">
        <v>0</v>
      </c>
      <c r="G15" s="70">
        <v>255</v>
      </c>
      <c r="J15" s="78">
        <v>6</v>
      </c>
      <c r="K15" s="85" t="str">
        <f t="shared" si="3"/>
        <v/>
      </c>
      <c r="L15" s="132">
        <f t="shared" si="1"/>
        <v>-8.1818181818181834</v>
      </c>
      <c r="M15" s="68">
        <v>0</v>
      </c>
      <c r="N15" s="68">
        <v>0</v>
      </c>
      <c r="O15" s="70">
        <v>255</v>
      </c>
    </row>
    <row r="16" spans="1:27" x14ac:dyDescent="0.25">
      <c r="B16" s="78">
        <v>7</v>
      </c>
      <c r="C16" s="86" t="str">
        <f t="shared" si="2"/>
        <v/>
      </c>
      <c r="D16" s="113">
        <f t="shared" si="0"/>
        <v>-6.8</v>
      </c>
      <c r="E16" s="68">
        <v>0</v>
      </c>
      <c r="F16" s="68">
        <v>42</v>
      </c>
      <c r="G16" s="70">
        <v>255</v>
      </c>
      <c r="J16" s="78">
        <v>7</v>
      </c>
      <c r="K16" s="86" t="str">
        <f t="shared" si="3"/>
        <v/>
      </c>
      <c r="L16" s="132">
        <f t="shared" si="1"/>
        <v>-6.8181818181818183</v>
      </c>
      <c r="M16" s="68">
        <v>0</v>
      </c>
      <c r="N16" s="68">
        <v>42</v>
      </c>
      <c r="O16" s="70">
        <v>255</v>
      </c>
    </row>
    <row r="17" spans="2:15" x14ac:dyDescent="0.25">
      <c r="B17" s="78">
        <v>8</v>
      </c>
      <c r="C17" s="87" t="str">
        <f t="shared" si="2"/>
        <v/>
      </c>
      <c r="D17" s="113">
        <f t="shared" si="0"/>
        <v>-5.5</v>
      </c>
      <c r="E17" s="68">
        <v>0</v>
      </c>
      <c r="F17" s="68">
        <v>85</v>
      </c>
      <c r="G17" s="70">
        <v>255</v>
      </c>
      <c r="J17" s="78">
        <v>8</v>
      </c>
      <c r="K17" s="87" t="str">
        <f t="shared" si="3"/>
        <v/>
      </c>
      <c r="L17" s="132">
        <f t="shared" si="1"/>
        <v>-5.454545454545455</v>
      </c>
      <c r="M17" s="68">
        <v>0</v>
      </c>
      <c r="N17" s="68">
        <v>85</v>
      </c>
      <c r="O17" s="70">
        <v>255</v>
      </c>
    </row>
    <row r="18" spans="2:15" x14ac:dyDescent="0.25">
      <c r="B18" s="78">
        <v>9</v>
      </c>
      <c r="C18" s="88" t="str">
        <f t="shared" si="2"/>
        <v/>
      </c>
      <c r="D18" s="113">
        <f t="shared" si="0"/>
        <v>-4.0999999999999996</v>
      </c>
      <c r="E18" s="68">
        <v>0</v>
      </c>
      <c r="F18" s="68">
        <v>127</v>
      </c>
      <c r="G18" s="70">
        <v>255</v>
      </c>
      <c r="J18" s="78">
        <v>9</v>
      </c>
      <c r="K18" s="88" t="str">
        <f t="shared" si="3"/>
        <v/>
      </c>
      <c r="L18" s="132">
        <f t="shared" si="1"/>
        <v>-4.0909090909090917</v>
      </c>
      <c r="M18" s="68">
        <v>0</v>
      </c>
      <c r="N18" s="68">
        <v>127</v>
      </c>
      <c r="O18" s="70">
        <v>255</v>
      </c>
    </row>
    <row r="19" spans="2:15" x14ac:dyDescent="0.25">
      <c r="B19" s="78">
        <v>10</v>
      </c>
      <c r="C19" s="89" t="str">
        <f t="shared" si="2"/>
        <v/>
      </c>
      <c r="D19" s="113">
        <f t="shared" si="0"/>
        <v>-2.7</v>
      </c>
      <c r="E19" s="68">
        <v>0</v>
      </c>
      <c r="F19" s="68">
        <v>169</v>
      </c>
      <c r="G19" s="70">
        <v>255</v>
      </c>
      <c r="J19" s="78">
        <v>10</v>
      </c>
      <c r="K19" s="89" t="str">
        <f t="shared" si="3"/>
        <v/>
      </c>
      <c r="L19" s="132">
        <f t="shared" si="1"/>
        <v>-2.7272727272727284</v>
      </c>
      <c r="M19" s="68">
        <v>0</v>
      </c>
      <c r="N19" s="68">
        <v>169</v>
      </c>
      <c r="O19" s="70">
        <v>255</v>
      </c>
    </row>
    <row r="20" spans="2:15" x14ac:dyDescent="0.25">
      <c r="B20" s="78">
        <v>11</v>
      </c>
      <c r="C20" s="90" t="str">
        <f t="shared" si="2"/>
        <v/>
      </c>
      <c r="D20" s="113">
        <f t="shared" si="0"/>
        <v>-1.4</v>
      </c>
      <c r="E20" s="68">
        <v>0</v>
      </c>
      <c r="F20" s="68">
        <v>212</v>
      </c>
      <c r="G20" s="70">
        <v>255</v>
      </c>
      <c r="J20" s="78">
        <v>11</v>
      </c>
      <c r="K20" s="90" t="str">
        <f t="shared" si="3"/>
        <v/>
      </c>
      <c r="L20" s="132">
        <f t="shared" si="1"/>
        <v>-1.3636363636363651</v>
      </c>
      <c r="M20" s="68">
        <v>0</v>
      </c>
      <c r="N20" s="68">
        <v>212</v>
      </c>
      <c r="O20" s="70">
        <v>255</v>
      </c>
    </row>
    <row r="21" spans="2:15" x14ac:dyDescent="0.25">
      <c r="B21" s="78">
        <v>12</v>
      </c>
      <c r="C21" s="91" t="str">
        <f t="shared" si="2"/>
        <v/>
      </c>
      <c r="D21" s="113">
        <f t="shared" si="0"/>
        <v>0</v>
      </c>
      <c r="E21" s="68">
        <v>0</v>
      </c>
      <c r="F21" s="68">
        <v>255</v>
      </c>
      <c r="G21" s="70">
        <v>255</v>
      </c>
      <c r="J21" s="78">
        <v>12</v>
      </c>
      <c r="K21" s="91" t="str">
        <f t="shared" si="3"/>
        <v/>
      </c>
      <c r="L21" s="132">
        <f t="shared" si="1"/>
        <v>0</v>
      </c>
      <c r="M21" s="68">
        <v>0</v>
      </c>
      <c r="N21" s="68">
        <v>255</v>
      </c>
      <c r="O21" s="70">
        <v>255</v>
      </c>
    </row>
    <row r="22" spans="2:15" x14ac:dyDescent="0.25">
      <c r="B22" s="78">
        <v>13</v>
      </c>
      <c r="C22" s="92" t="str">
        <f t="shared" si="2"/>
        <v/>
      </c>
      <c r="D22" s="113">
        <f t="shared" si="0"/>
        <v>1.4</v>
      </c>
      <c r="E22" s="68">
        <v>0</v>
      </c>
      <c r="F22" s="68">
        <v>102</v>
      </c>
      <c r="G22" s="70">
        <v>51</v>
      </c>
      <c r="J22" s="78">
        <v>13</v>
      </c>
      <c r="K22" s="92" t="str">
        <f t="shared" si="3"/>
        <v/>
      </c>
      <c r="L22" s="132">
        <f t="shared" si="1"/>
        <v>0</v>
      </c>
      <c r="M22" s="68">
        <v>0</v>
      </c>
      <c r="N22" s="68">
        <v>102</v>
      </c>
      <c r="O22" s="70">
        <v>51</v>
      </c>
    </row>
    <row r="23" spans="2:15" x14ac:dyDescent="0.25">
      <c r="B23" s="78">
        <v>14</v>
      </c>
      <c r="C23" s="93" t="str">
        <f t="shared" si="2"/>
        <v/>
      </c>
      <c r="D23" s="113">
        <f t="shared" si="0"/>
        <v>2.9</v>
      </c>
      <c r="E23" s="68">
        <v>16</v>
      </c>
      <c r="F23" s="68">
        <v>127</v>
      </c>
      <c r="G23" s="70">
        <v>53</v>
      </c>
      <c r="J23" s="78">
        <v>14</v>
      </c>
      <c r="K23" s="93" t="str">
        <f t="shared" si="3"/>
        <v/>
      </c>
      <c r="L23" s="132">
        <f t="shared" si="1"/>
        <v>1.6666666666666667</v>
      </c>
      <c r="M23" s="68">
        <v>16</v>
      </c>
      <c r="N23" s="68">
        <v>127</v>
      </c>
      <c r="O23" s="70">
        <v>53</v>
      </c>
    </row>
    <row r="24" spans="2:15" x14ac:dyDescent="0.25">
      <c r="B24" s="78">
        <v>15</v>
      </c>
      <c r="C24" s="94" t="str">
        <f t="shared" si="2"/>
        <v/>
      </c>
      <c r="D24" s="113">
        <f t="shared" si="0"/>
        <v>4.3</v>
      </c>
      <c r="E24" s="68">
        <v>40</v>
      </c>
      <c r="F24" s="68">
        <v>153</v>
      </c>
      <c r="G24" s="70">
        <v>59</v>
      </c>
      <c r="J24" s="78">
        <v>15</v>
      </c>
      <c r="K24" s="94" t="str">
        <f t="shared" si="3"/>
        <v/>
      </c>
      <c r="L24" s="132">
        <f t="shared" si="1"/>
        <v>3.3333333333333335</v>
      </c>
      <c r="M24" s="68">
        <v>40</v>
      </c>
      <c r="N24" s="68">
        <v>153</v>
      </c>
      <c r="O24" s="70">
        <v>59</v>
      </c>
    </row>
    <row r="25" spans="2:15" x14ac:dyDescent="0.25">
      <c r="B25" s="78">
        <v>16</v>
      </c>
      <c r="C25" s="95" t="str">
        <f t="shared" si="2"/>
        <v/>
      </c>
      <c r="D25" s="113">
        <f t="shared" si="0"/>
        <v>5.7</v>
      </c>
      <c r="E25" s="68">
        <v>71</v>
      </c>
      <c r="F25" s="68">
        <v>178</v>
      </c>
      <c r="G25" s="70">
        <v>71</v>
      </c>
      <c r="J25" s="78">
        <v>16</v>
      </c>
      <c r="K25" s="95" t="str">
        <f t="shared" si="3"/>
        <v/>
      </c>
      <c r="L25" s="132">
        <f t="shared" si="1"/>
        <v>5</v>
      </c>
      <c r="M25" s="68">
        <v>71</v>
      </c>
      <c r="N25" s="68">
        <v>178</v>
      </c>
      <c r="O25" s="70">
        <v>71</v>
      </c>
    </row>
    <row r="26" spans="2:15" x14ac:dyDescent="0.25">
      <c r="B26" s="78">
        <v>17</v>
      </c>
      <c r="C26" s="96" t="str">
        <f t="shared" si="2"/>
        <v/>
      </c>
      <c r="D26" s="113">
        <f t="shared" si="0"/>
        <v>7.1</v>
      </c>
      <c r="E26" s="68">
        <v>124</v>
      </c>
      <c r="F26" s="68">
        <v>204</v>
      </c>
      <c r="G26" s="70">
        <v>108</v>
      </c>
      <c r="J26" s="78">
        <v>17</v>
      </c>
      <c r="K26" s="96" t="str">
        <f t="shared" si="3"/>
        <v/>
      </c>
      <c r="L26" s="132">
        <f t="shared" si="1"/>
        <v>6.666666666666667</v>
      </c>
      <c r="M26" s="68">
        <v>124</v>
      </c>
      <c r="N26" s="68">
        <v>204</v>
      </c>
      <c r="O26" s="70">
        <v>108</v>
      </c>
    </row>
    <row r="27" spans="2:15" x14ac:dyDescent="0.25">
      <c r="B27" s="78">
        <v>18</v>
      </c>
      <c r="C27" s="97" t="str">
        <f t="shared" si="2"/>
        <v/>
      </c>
      <c r="D27" s="113">
        <f t="shared" si="0"/>
        <v>8.6</v>
      </c>
      <c r="E27" s="68">
        <v>178</v>
      </c>
      <c r="F27" s="68">
        <v>229</v>
      </c>
      <c r="G27" s="70">
        <v>153</v>
      </c>
      <c r="J27" s="78">
        <v>18</v>
      </c>
      <c r="K27" s="97" t="str">
        <f t="shared" si="3"/>
        <v/>
      </c>
      <c r="L27" s="132">
        <f t="shared" si="1"/>
        <v>8.3333333333333339</v>
      </c>
      <c r="M27" s="68">
        <v>178</v>
      </c>
      <c r="N27" s="68">
        <v>229</v>
      </c>
      <c r="O27" s="70">
        <v>153</v>
      </c>
    </row>
    <row r="28" spans="2:15" x14ac:dyDescent="0.25">
      <c r="B28" s="78">
        <v>19</v>
      </c>
      <c r="C28" s="98" t="str">
        <f t="shared" si="2"/>
        <v/>
      </c>
      <c r="D28" s="113">
        <f t="shared" si="0"/>
        <v>10</v>
      </c>
      <c r="E28" s="68">
        <v>229</v>
      </c>
      <c r="F28" s="68">
        <v>255</v>
      </c>
      <c r="G28" s="70">
        <v>204</v>
      </c>
      <c r="J28" s="78">
        <v>19</v>
      </c>
      <c r="K28" s="98" t="str">
        <f t="shared" si="3"/>
        <v/>
      </c>
      <c r="L28" s="132">
        <f t="shared" si="1"/>
        <v>10</v>
      </c>
      <c r="M28" s="68">
        <v>229</v>
      </c>
      <c r="N28" s="68">
        <v>255</v>
      </c>
      <c r="O28" s="70">
        <v>204</v>
      </c>
    </row>
    <row r="29" spans="2:15" x14ac:dyDescent="0.25">
      <c r="B29" s="78">
        <v>20</v>
      </c>
      <c r="C29" s="99" t="str">
        <f t="shared" si="2"/>
        <v/>
      </c>
      <c r="D29" s="113">
        <f t="shared" si="0"/>
        <v>11.4</v>
      </c>
      <c r="E29" s="68">
        <v>201</v>
      </c>
      <c r="F29" s="68">
        <v>224</v>
      </c>
      <c r="G29" s="70">
        <v>143</v>
      </c>
      <c r="J29" s="78">
        <v>20</v>
      </c>
      <c r="K29" s="99" t="str">
        <f t="shared" si="3"/>
        <v/>
      </c>
      <c r="L29" s="132">
        <f t="shared" si="1"/>
        <v>11.666666666666666</v>
      </c>
      <c r="M29" s="68">
        <v>201</v>
      </c>
      <c r="N29" s="68">
        <v>224</v>
      </c>
      <c r="O29" s="70">
        <v>143</v>
      </c>
    </row>
    <row r="30" spans="2:15" x14ac:dyDescent="0.25">
      <c r="B30" s="78">
        <v>21</v>
      </c>
      <c r="C30" s="100" t="str">
        <f t="shared" si="2"/>
        <v/>
      </c>
      <c r="D30" s="113">
        <f t="shared" si="0"/>
        <v>12.9</v>
      </c>
      <c r="E30" s="68">
        <v>187</v>
      </c>
      <c r="F30" s="68">
        <v>193</v>
      </c>
      <c r="G30" s="70">
        <v>93</v>
      </c>
      <c r="J30" s="78">
        <v>21</v>
      </c>
      <c r="K30" s="100" t="str">
        <f t="shared" si="3"/>
        <v/>
      </c>
      <c r="L30" s="132">
        <f t="shared" si="1"/>
        <v>13.333333333333332</v>
      </c>
      <c r="M30" s="68">
        <v>187</v>
      </c>
      <c r="N30" s="68">
        <v>193</v>
      </c>
      <c r="O30" s="70">
        <v>93</v>
      </c>
    </row>
    <row r="31" spans="2:15" x14ac:dyDescent="0.25">
      <c r="B31" s="78">
        <v>22</v>
      </c>
      <c r="C31" s="101" t="str">
        <f t="shared" si="2"/>
        <v/>
      </c>
      <c r="D31" s="113">
        <f t="shared" si="0"/>
        <v>14.3</v>
      </c>
      <c r="E31" s="68">
        <v>163</v>
      </c>
      <c r="F31" s="68">
        <v>146</v>
      </c>
      <c r="G31" s="70">
        <v>52</v>
      </c>
      <c r="J31" s="78">
        <v>22</v>
      </c>
      <c r="K31" s="101" t="str">
        <f t="shared" si="3"/>
        <v/>
      </c>
      <c r="L31" s="132">
        <f t="shared" si="1"/>
        <v>14.999999999999998</v>
      </c>
      <c r="M31" s="68">
        <v>163</v>
      </c>
      <c r="N31" s="68">
        <v>146</v>
      </c>
      <c r="O31" s="70">
        <v>52</v>
      </c>
    </row>
    <row r="32" spans="2:15" x14ac:dyDescent="0.25">
      <c r="B32" s="78">
        <v>23</v>
      </c>
      <c r="C32" s="102" t="str">
        <f t="shared" si="2"/>
        <v/>
      </c>
      <c r="D32" s="113">
        <f t="shared" si="0"/>
        <v>15.7</v>
      </c>
      <c r="E32" s="68">
        <v>132</v>
      </c>
      <c r="F32" s="68">
        <v>91</v>
      </c>
      <c r="G32" s="70">
        <v>21</v>
      </c>
      <c r="J32" s="78">
        <v>23</v>
      </c>
      <c r="K32" s="102" t="str">
        <f t="shared" si="3"/>
        <v/>
      </c>
      <c r="L32" s="132">
        <f t="shared" si="1"/>
        <v>16.666666666666664</v>
      </c>
      <c r="M32" s="68">
        <v>132</v>
      </c>
      <c r="N32" s="68">
        <v>91</v>
      </c>
      <c r="O32" s="70">
        <v>21</v>
      </c>
    </row>
    <row r="33" spans="2:15" ht="15.75" thickBot="1" x14ac:dyDescent="0.3">
      <c r="B33" s="79">
        <v>24</v>
      </c>
      <c r="C33" s="103" t="str">
        <f t="shared" si="2"/>
        <v/>
      </c>
      <c r="D33" s="122">
        <f t="shared" si="0"/>
        <v>17.100000000000001</v>
      </c>
      <c r="E33" s="71">
        <v>102</v>
      </c>
      <c r="F33" s="71">
        <v>42</v>
      </c>
      <c r="G33" s="104">
        <v>0</v>
      </c>
      <c r="J33" s="79">
        <v>24</v>
      </c>
      <c r="K33" s="103" t="str">
        <f t="shared" si="3"/>
        <v/>
      </c>
      <c r="L33" s="134">
        <f t="shared" si="1"/>
        <v>18.333333333333332</v>
      </c>
      <c r="M33" s="71">
        <v>102</v>
      </c>
      <c r="N33" s="71">
        <v>42</v>
      </c>
      <c r="O33" s="104">
        <v>0</v>
      </c>
    </row>
  </sheetData>
  <dataValidations count="1">
    <dataValidation type="list" allowBlank="1" showInputMessage="1" showErrorMessage="1" sqref="S6" xr:uid="{01D752F4-0A64-4D3C-ADFD-F7E9966ACB38}">
      <formula1>"Soft,Hard"</formula1>
    </dataValidation>
  </dataValidations>
  <hyperlinks>
    <hyperlink ref="S2" r:id="rId1" xr:uid="{1EC9E852-78FD-4579-A169-8A8171DD2E9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HeightSet">
                <anchor moveWithCells="1" sizeWithCells="1">
                  <from>
                    <xdr:col>19</xdr:col>
                    <xdr:colOff>361950</xdr:colOff>
                    <xdr:row>1</xdr:row>
                    <xdr:rowOff>38100</xdr:rowOff>
                  </from>
                  <to>
                    <xdr:col>21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ColourMAPs</vt:lpstr>
      <vt:lpstr>ColourMAP_Gen</vt:lpstr>
      <vt:lpstr>ExportPath</vt:lpstr>
      <vt:lpstr>Extension</vt:lpstr>
      <vt:lpstr>FileName</vt:lpstr>
      <vt:lpstr>HardTransData</vt:lpstr>
      <vt:lpstr>IdxMax</vt:lpstr>
      <vt:lpstr>IdxMin</vt:lpstr>
      <vt:lpstr>IdxStep</vt:lpstr>
      <vt:lpstr>IdxZero</vt:lpstr>
      <vt:lpstr>MapType</vt:lpstr>
      <vt:lpstr>SoftTransData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Guy</dc:creator>
  <cp:lastModifiedBy>Peter Guy</cp:lastModifiedBy>
  <dcterms:created xsi:type="dcterms:W3CDTF">2018-12-06T15:54:51Z</dcterms:created>
  <dcterms:modified xsi:type="dcterms:W3CDTF">2018-12-09T20:46:13Z</dcterms:modified>
</cp:coreProperties>
</file>